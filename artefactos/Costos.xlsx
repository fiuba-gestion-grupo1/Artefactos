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para Alumnos T&amp;M" sheetId="1" r:id="rId4"/>
    <sheet state="visible" name="Template para Alumnos Fixed Pri" sheetId="2" r:id="rId5"/>
  </sheets>
  <definedNames/>
  <calcPr/>
  <extLst>
    <ext uri="GoogleSheetsCustomDataVersion2">
      <go:sheetsCustomData xmlns:go="http://customooxmlschemas.google.com/" r:id="rId6" roundtripDataChecksum="tEsEWqR0ibsEcl6S/d8EV/zvnwnu/btSrzzkqsDJ7A4="/>
    </ext>
  </extLst>
</workbook>
</file>

<file path=xl/sharedStrings.xml><?xml version="1.0" encoding="utf-8"?>
<sst xmlns="http://schemas.openxmlformats.org/spreadsheetml/2006/main" count="118" uniqueCount="51">
  <si>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</si>
  <si>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</si>
  <si>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</si>
  <si>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</si>
  <si>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</si>
  <si>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</si>
  <si>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</si>
  <si>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</si>
  <si>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</si>
  <si>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</si>
  <si>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Total</t>
  </si>
  <si>
    <t>Cantidad</t>
  </si>
  <si>
    <t>Perfiles</t>
  </si>
  <si>
    <t>Rate costo/hs</t>
  </si>
  <si>
    <t xml:space="preserve">Horas </t>
  </si>
  <si>
    <t>Monto</t>
  </si>
  <si>
    <t>Developer</t>
  </si>
  <si>
    <t>Proyect Manager</t>
  </si>
  <si>
    <t>Costos Equipo de trabajo</t>
  </si>
  <si>
    <t>Costos Totales Acumulados</t>
  </si>
  <si>
    <t>Rate venta/hs</t>
  </si>
  <si>
    <t xml:space="preserve">Revenue </t>
  </si>
  <si>
    <t>Revenue Totales Acumulados</t>
  </si>
  <si>
    <t>Profit / Loss -</t>
  </si>
  <si>
    <t>Profit / Loss - Acumulado</t>
  </si>
  <si>
    <t>analisis conceptual</t>
  </si>
  <si>
    <t>4 semanas</t>
  </si>
  <si>
    <t>tiene q representar el costo q vamos a insumir nosotros</t>
  </si>
  <si>
    <t>programas a realizar</t>
  </si>
  <si>
    <t xml:space="preserve">6 semanas </t>
  </si>
  <si>
    <t xml:space="preserve">hay dos solapas: cuando cotizas para cliente, depende dle tipo de proyecto y como es el costeo. la dif es q en uno se cobra las horas y el riesgo lo corre el cliente. a precio fijo, nos compreometemos por un precio fijo a terminar el proyecto  - podemos usar cualquiera de los dos </t>
  </si>
  <si>
    <t>tenemos una parte de costos y otra de lo q cobramos al cliente, entonces ahi sale el profit</t>
  </si>
  <si>
    <t>cuando arrancamos, planificamos todo . tenemos un fc de costos e ingreso. cuando pasan las semanas se va pisando con el actual () costos reales) - entonces queda parte real insumida y un forecast () entonces eso se va a ir modificandp</t>
  </si>
  <si>
    <t>en fixed price se cobra mas caro xq el riesgo lo corre el cliente, entocnes el sabe q tiene q pagar mas caro. pagan todo entocnes tienen cliente encima viendo q trabajes</t>
  </si>
  <si>
    <t>si ponemos de cantidad 6 developer, tenemos q poner cada horas y monto x 6 o sino hacer 6 filas de developer</t>
  </si>
  <si>
    <t>tmb ir cambiando los roles una semana q uno sea scrum master y la otra rotamos - del punto de vista operativo - pero aca no especificamos quien rota en q</t>
  </si>
  <si>
    <t>Project Manager</t>
  </si>
  <si>
    <t>de ultima podemos poner nuestros nombres direcot</t>
  </si>
  <si>
    <t>Solution Architect</t>
  </si>
  <si>
    <t xml:space="preserve">Business Analyst </t>
  </si>
  <si>
    <t>Data Engineer Sr 1</t>
  </si>
  <si>
    <t>Data Engineer Ssr 2</t>
  </si>
  <si>
    <t>Data Engineer Jr 3</t>
  </si>
  <si>
    <t>Subtotal Equipo de trabajo</t>
  </si>
  <si>
    <t>Plan GPT plus</t>
  </si>
  <si>
    <t>Subtotal Infraestructura</t>
  </si>
  <si>
    <t>Contingencia</t>
  </si>
  <si>
    <t>Costos Total x mes</t>
  </si>
  <si>
    <t>Markup</t>
  </si>
  <si>
    <t>Revenue x mes</t>
  </si>
  <si>
    <t>Revenue 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</si>
</sst>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_-* #,##0_-;\-* #,##0_-;_-* &quot;-&quot;??_-;_-@"/>
    <numFmt numFmtId="166" formatCode="&quot;$&quot;\ #,##0.00;[Red]\-&quot;$&quot;\ #,##0.00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/>
    <font>
      <b/>
      <sz val="11.0"/>
      <color theme="1"/>
      <name val="Calibri"/>
    </font>
    <font>
      <color theme="1"/>
      <name val="Calibri"/>
    </font>
    <font>
      <b/>
      <sz val="11.0"/>
      <color rgb="FF44546A"/>
      <name val="Calibri"/>
    </font>
    <font>
      <color theme="1"/>
      <name val="Calibri"/>
      <scheme val="minor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FD966"/>
        <bgColor rgb="FFFFD966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4A86E8"/>
        <bgColor rgb="FF4A86E8"/>
      </patternFill>
    </fill>
    <fill>
      <patternFill patternType="solid">
        <fgColor rgb="FFC8C8C8"/>
        <bgColor rgb="FFC8C8C8"/>
      </patternFill>
    </fill>
  </fills>
  <borders count="13">
    <border/>
    <border>
      <left/>
      <top/>
      <bottom/>
    </border>
    <border>
      <top/>
      <bottom/>
    </border>
    <border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/>
      <right/>
      <top/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7" xfId="0" applyBorder="1" applyFill="1" applyFont="1" applyNumberFormat="1"/>
    <xf borderId="1" fillId="2" fontId="2" numFmtId="0" xfId="0" applyAlignment="1" applyBorder="1" applyFont="1">
      <alignment horizontal="center"/>
    </xf>
    <xf borderId="2" fillId="0" fontId="3" numFmtId="0" xfId="0" applyBorder="1" applyFont="1"/>
    <xf borderId="1" fillId="3" fontId="2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/>
    </xf>
    <xf borderId="0" fillId="5" fontId="5" numFmtId="0" xfId="0" applyFill="1" applyFont="1"/>
    <xf borderId="0" fillId="0" fontId="4" numFmtId="0" xfId="0" applyFont="1"/>
    <xf borderId="3" fillId="0" fontId="2" numFmtId="0" xfId="0" applyBorder="1" applyFont="1"/>
    <xf borderId="0" fillId="0" fontId="2" numFmtId="17" xfId="0" applyFont="1" applyNumberFormat="1"/>
    <xf borderId="0" fillId="0" fontId="2" numFmtId="0" xfId="0" applyFont="1"/>
    <xf borderId="4" fillId="6" fontId="2" numFmtId="17" xfId="0" applyBorder="1" applyFill="1" applyFont="1" applyNumberFormat="1"/>
    <xf borderId="4" fillId="6" fontId="2" numFmtId="0" xfId="0" applyBorder="1" applyFont="1"/>
    <xf borderId="3" fillId="0" fontId="1" numFmtId="164" xfId="0" applyAlignment="1" applyBorder="1" applyFont="1" applyNumberFormat="1">
      <alignment horizontal="right"/>
    </xf>
    <xf borderId="4" fillId="7" fontId="1" numFmtId="165" xfId="0" applyBorder="1" applyFill="1" applyFont="1" applyNumberFormat="1"/>
    <xf borderId="4" fillId="8" fontId="1" numFmtId="164" xfId="0" applyBorder="1" applyFill="1" applyFont="1" applyNumberFormat="1"/>
    <xf borderId="4" fillId="9" fontId="1" numFmtId="165" xfId="0" applyBorder="1" applyFill="1" applyFont="1" applyNumberFormat="1"/>
    <xf borderId="4" fillId="6" fontId="1" numFmtId="165" xfId="0" applyBorder="1" applyFont="1" applyNumberFormat="1"/>
    <xf borderId="0" fillId="0" fontId="5" numFmtId="0" xfId="0" applyFont="1"/>
    <xf borderId="4" fillId="2" fontId="2" numFmtId="0" xfId="0" applyBorder="1" applyFont="1"/>
    <xf borderId="5" fillId="2" fontId="4" numFmtId="0" xfId="0" applyBorder="1" applyFont="1"/>
    <xf borderId="4" fillId="2" fontId="4" numFmtId="165" xfId="0" applyBorder="1" applyFont="1" applyNumberFormat="1"/>
    <xf borderId="4" fillId="2" fontId="4" numFmtId="164" xfId="0" applyBorder="1" applyFont="1" applyNumberFormat="1"/>
    <xf borderId="4" fillId="4" fontId="4" numFmtId="165" xfId="0" applyBorder="1" applyFont="1" applyNumberFormat="1"/>
    <xf borderId="4" fillId="4" fontId="4" numFmtId="164" xfId="0" applyBorder="1" applyFont="1" applyNumberFormat="1"/>
    <xf borderId="6" fillId="0" fontId="2" numFmtId="0" xfId="0" applyBorder="1" applyFont="1"/>
    <xf borderId="7" fillId="0" fontId="1" numFmtId="0" xfId="0" applyBorder="1" applyFont="1"/>
    <xf borderId="6" fillId="0" fontId="1" numFmtId="0" xfId="0" applyBorder="1" applyFont="1"/>
    <xf borderId="6" fillId="0" fontId="2" numFmtId="164" xfId="0" applyBorder="1" applyFont="1" applyNumberFormat="1"/>
    <xf borderId="8" fillId="6" fontId="1" numFmtId="0" xfId="0" applyBorder="1" applyFont="1"/>
    <xf borderId="3" fillId="0" fontId="4" numFmtId="0" xfId="0" applyBorder="1" applyFont="1"/>
    <xf borderId="0" fillId="0" fontId="1" numFmtId="164" xfId="0" applyFont="1" applyNumberFormat="1"/>
    <xf borderId="4" fillId="6" fontId="1" numFmtId="0" xfId="0" applyBorder="1" applyFont="1"/>
    <xf borderId="4" fillId="3" fontId="1" numFmtId="165" xfId="0" applyBorder="1" applyFont="1" applyNumberFormat="1"/>
    <xf borderId="0" fillId="0" fontId="1" numFmtId="0" xfId="0" applyAlignment="1" applyFont="1">
      <alignment readingOrder="0"/>
    </xf>
    <xf borderId="5" fillId="2" fontId="1" numFmtId="0" xfId="0" applyBorder="1" applyFont="1"/>
    <xf borderId="4" fillId="2" fontId="6" numFmtId="164" xfId="0" applyBorder="1" applyFont="1" applyNumberFormat="1"/>
    <xf borderId="8" fillId="6" fontId="1" numFmtId="164" xfId="0" applyBorder="1" applyFont="1" applyNumberFormat="1"/>
    <xf borderId="9" fillId="0" fontId="2" numFmtId="0" xfId="0" applyBorder="1" applyFont="1"/>
    <xf borderId="10" fillId="0" fontId="1" numFmtId="0" xfId="0" applyBorder="1" applyFont="1"/>
    <xf borderId="9" fillId="0" fontId="1" numFmtId="0" xfId="0" applyBorder="1" applyFont="1"/>
    <xf borderId="9" fillId="0" fontId="1" numFmtId="164" xfId="0" applyBorder="1" applyFont="1" applyNumberFormat="1"/>
    <xf borderId="11" fillId="6" fontId="1" numFmtId="0" xfId="0" applyBorder="1" applyFont="1"/>
    <xf borderId="4" fillId="2" fontId="1" numFmtId="0" xfId="0" applyBorder="1" applyFont="1"/>
    <xf borderId="4" fillId="2" fontId="2" numFmtId="164" xfId="0" applyBorder="1" applyFont="1" applyNumberFormat="1"/>
    <xf borderId="4" fillId="4" fontId="1" numFmtId="0" xfId="0" applyBorder="1" applyFont="1"/>
    <xf borderId="4" fillId="4" fontId="2" numFmtId="40" xfId="0" applyBorder="1" applyFont="1" applyNumberFormat="1"/>
    <xf borderId="3" fillId="0" fontId="1" numFmtId="0" xfId="0" applyBorder="1" applyFont="1"/>
    <xf borderId="4" fillId="10" fontId="2" numFmtId="166" xfId="0" applyBorder="1" applyFill="1" applyFont="1" applyNumberFormat="1"/>
    <xf borderId="0" fillId="7" fontId="5" numFmtId="0" xfId="0" applyFont="1"/>
    <xf borderId="0" fillId="0" fontId="7" numFmtId="0" xfId="0" applyAlignment="1" applyFont="1">
      <alignment readingOrder="0"/>
    </xf>
    <xf borderId="0" fillId="9" fontId="5" numFmtId="0" xfId="0" applyFont="1"/>
    <xf borderId="10" fillId="0" fontId="1" numFmtId="164" xfId="0" applyAlignment="1" applyBorder="1" applyFont="1" applyNumberFormat="1">
      <alignment horizontal="right"/>
    </xf>
    <xf borderId="0" fillId="0" fontId="1" numFmtId="17" xfId="0" applyFont="1" applyNumberFormat="1"/>
    <xf borderId="4" fillId="10" fontId="2" numFmtId="164" xfId="0" applyBorder="1" applyFont="1" applyNumberFormat="1"/>
    <xf borderId="5" fillId="2" fontId="2" numFmtId="17" xfId="0" applyBorder="1" applyFont="1" applyNumberFormat="1"/>
    <xf borderId="5" fillId="3" fontId="1" numFmtId="164" xfId="0" applyBorder="1" applyFont="1" applyNumberFormat="1"/>
    <xf borderId="4" fillId="3" fontId="1" numFmtId="164" xfId="0" applyBorder="1" applyFont="1" applyNumberFormat="1"/>
    <xf borderId="4" fillId="4" fontId="6" numFmtId="164" xfId="0" applyBorder="1" applyFont="1" applyNumberFormat="1"/>
    <xf borderId="12" fillId="3" fontId="1" numFmtId="9" xfId="0" applyBorder="1" applyFont="1" applyNumberFormat="1"/>
    <xf borderId="11" fillId="8" fontId="1" numFmtId="164" xfId="0" applyBorder="1" applyFont="1" applyNumberFormat="1"/>
    <xf borderId="11" fillId="6" fontId="1" numFmtId="165" xfId="0" applyBorder="1" applyFont="1" applyNumberFormat="1"/>
    <xf borderId="4" fillId="4" fontId="2" numFmtId="164" xfId="0" applyBorder="1" applyFont="1" applyNumberFormat="1"/>
    <xf borderId="0" fillId="0" fontId="2" numFmtId="164" xfId="0" applyFont="1" applyNumberFormat="1"/>
    <xf borderId="11" fillId="8" fontId="8" numFmtId="164" xfId="0" applyBorder="1" applyFont="1" applyNumberFormat="1"/>
    <xf borderId="4" fillId="2" fontId="1" numFmtId="164" xfId="0" applyBorder="1" applyFont="1" applyNumberFormat="1"/>
    <xf borderId="4" fillId="10" fontId="2" numFmtId="40" xfId="0" applyBorder="1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609600</xdr:colOff>
      <xdr:row>25</xdr:row>
      <xdr:rowOff>114300</xdr:rowOff>
    </xdr:from>
    <xdr:ext cx="4876800" cy="44577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4876800" cy="45053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6.57"/>
    <col customWidth="1" min="2" max="2" width="12.86"/>
    <col customWidth="1" min="3" max="3" width="6.43"/>
    <col customWidth="1" min="4" max="4" width="13.71"/>
    <col customWidth="1" min="5" max="5" width="9.43"/>
    <col customWidth="1" min="6" max="6" width="13.57"/>
    <col customWidth="1" min="7" max="7" width="9.43"/>
    <col customWidth="1" min="8" max="8" width="13.57"/>
    <col customWidth="1" min="9" max="9" width="9.43"/>
    <col customWidth="1" min="10" max="10" width="13.57"/>
    <col customWidth="1" min="11" max="11" width="9.43"/>
    <col customWidth="1" min="12" max="12" width="13.57"/>
    <col customWidth="1" min="13" max="13" width="9.43"/>
    <col customWidth="1" min="14" max="14" width="13.57"/>
    <col customWidth="1" min="15" max="15" width="8.71"/>
    <col customWidth="1" min="16" max="16" width="17.0"/>
    <col customWidth="1" min="17" max="17" width="16.29"/>
    <col customWidth="1" min="18" max="22" width="8.71"/>
    <col customWidth="1" min="23" max="23" width="10.86"/>
    <col customWidth="1" min="24" max="24" width="11.86"/>
    <col customWidth="1" min="25" max="26" width="8.71"/>
  </cols>
  <sheetData>
    <row r="1" ht="14.25" customHeight="1">
      <c r="A1" s="1"/>
      <c r="B1" s="2"/>
      <c r="C1" s="3" t="s">
        <v>0</v>
      </c>
      <c r="D1" s="4"/>
      <c r="E1" s="5" t="s">
        <v>1</v>
      </c>
      <c r="F1" s="4"/>
      <c r="G1" s="3" t="s">
        <v>2</v>
      </c>
      <c r="H1" s="4"/>
      <c r="I1" s="5" t="s">
        <v>3</v>
      </c>
      <c r="J1" s="4"/>
      <c r="K1" s="3" t="s">
        <v>4</v>
      </c>
      <c r="L1" s="4"/>
      <c r="M1" s="5" t="s">
        <v>5</v>
      </c>
      <c r="N1" s="4"/>
      <c r="O1" s="3" t="s">
        <v>6</v>
      </c>
      <c r="P1" s="4"/>
      <c r="Q1" s="5" t="s">
        <v>7</v>
      </c>
      <c r="R1" s="4"/>
      <c r="S1" s="3" t="s">
        <v>8</v>
      </c>
      <c r="T1" s="4"/>
      <c r="U1" s="5" t="s">
        <v>9</v>
      </c>
      <c r="V1" s="4"/>
      <c r="W1" s="6" t="s">
        <v>10</v>
      </c>
      <c r="X1" s="4"/>
      <c r="Y1" s="7" t="s">
        <v>11</v>
      </c>
    </row>
    <row r="2" ht="14.25" customHeight="1">
      <c r="A2" s="8" t="s">
        <v>12</v>
      </c>
      <c r="B2" s="9" t="s">
        <v>13</v>
      </c>
      <c r="C2" s="10" t="s">
        <v>14</v>
      </c>
      <c r="D2" s="11" t="s">
        <v>15</v>
      </c>
      <c r="E2" s="10" t="s">
        <v>14</v>
      </c>
      <c r="F2" s="11" t="s">
        <v>15</v>
      </c>
      <c r="G2" s="10" t="s">
        <v>14</v>
      </c>
      <c r="H2" s="11" t="s">
        <v>15</v>
      </c>
      <c r="I2" s="10" t="s">
        <v>14</v>
      </c>
      <c r="J2" s="11" t="s">
        <v>15</v>
      </c>
      <c r="K2" s="10" t="s">
        <v>14</v>
      </c>
      <c r="L2" s="11" t="s">
        <v>15</v>
      </c>
      <c r="M2" s="10" t="s">
        <v>14</v>
      </c>
      <c r="N2" s="11" t="s">
        <v>15</v>
      </c>
      <c r="O2" s="10" t="s">
        <v>14</v>
      </c>
      <c r="P2" s="11" t="s">
        <v>15</v>
      </c>
      <c r="Q2" s="10" t="s">
        <v>14</v>
      </c>
      <c r="R2" s="11" t="s">
        <v>15</v>
      </c>
      <c r="S2" s="10" t="s">
        <v>14</v>
      </c>
      <c r="T2" s="11" t="s">
        <v>15</v>
      </c>
      <c r="U2" s="10" t="s">
        <v>14</v>
      </c>
      <c r="V2" s="11" t="s">
        <v>15</v>
      </c>
      <c r="W2" s="12" t="s">
        <v>14</v>
      </c>
      <c r="X2" s="13" t="s">
        <v>15</v>
      </c>
    </row>
    <row r="3" ht="14.25" customHeight="1">
      <c r="A3" s="1" t="s">
        <v>16</v>
      </c>
      <c r="B3" s="14">
        <v>15.0</v>
      </c>
      <c r="C3" s="15">
        <v>6.0</v>
      </c>
      <c r="D3" s="16">
        <f t="shared" ref="D3:D4" si="1">C3*$B3</f>
        <v>90</v>
      </c>
      <c r="E3" s="15">
        <v>6.0</v>
      </c>
      <c r="F3" s="16">
        <f t="shared" ref="F3:F4" si="2">E3*$B3</f>
        <v>90</v>
      </c>
      <c r="G3" s="17">
        <v>6.0</v>
      </c>
      <c r="H3" s="16">
        <f t="shared" ref="H3:H4" si="3">G3*$B3</f>
        <v>90</v>
      </c>
      <c r="I3" s="17">
        <v>6.0</v>
      </c>
      <c r="J3" s="16">
        <f t="shared" ref="J3:J4" si="4">I3*$B3</f>
        <v>90</v>
      </c>
      <c r="K3" s="17">
        <v>6.0</v>
      </c>
      <c r="L3" s="16">
        <f t="shared" ref="L3:L4" si="5">K3*$B3</f>
        <v>90</v>
      </c>
      <c r="M3" s="17">
        <v>6.0</v>
      </c>
      <c r="N3" s="16">
        <f t="shared" ref="N3:N4" si="6">M3*$B3</f>
        <v>90</v>
      </c>
      <c r="O3" s="17">
        <v>6.0</v>
      </c>
      <c r="P3" s="16">
        <f t="shared" ref="P3:P4" si="7">O3*$B3</f>
        <v>90</v>
      </c>
      <c r="Q3" s="17">
        <v>6.0</v>
      </c>
      <c r="R3" s="16">
        <f t="shared" ref="R3:R4" si="8">Q3*$B3</f>
        <v>90</v>
      </c>
      <c r="S3" s="17">
        <v>6.0</v>
      </c>
      <c r="T3" s="16">
        <f t="shared" ref="T3:T4" si="9">S3*$B3</f>
        <v>90</v>
      </c>
      <c r="U3" s="17">
        <v>6.0</v>
      </c>
      <c r="V3" s="16">
        <f t="shared" ref="V3:V4" si="10">U3*$B3</f>
        <v>90</v>
      </c>
      <c r="W3" s="18">
        <f t="shared" ref="W3:W4" si="11">(C3+E3+G3+I3+K3+M3+O3+Q3+S3+U3)*Y3</f>
        <v>360</v>
      </c>
      <c r="X3" s="18">
        <f t="shared" ref="X3:X4" si="12">W3*B3</f>
        <v>5400</v>
      </c>
      <c r="Y3" s="19">
        <v>6.0</v>
      </c>
    </row>
    <row r="4" ht="14.25" customHeight="1">
      <c r="A4" s="1" t="s">
        <v>17</v>
      </c>
      <c r="B4" s="14">
        <v>25.0</v>
      </c>
      <c r="C4" s="15">
        <v>1.0</v>
      </c>
      <c r="D4" s="16">
        <f t="shared" si="1"/>
        <v>25</v>
      </c>
      <c r="E4" s="15">
        <v>1.0</v>
      </c>
      <c r="F4" s="16">
        <f t="shared" si="2"/>
        <v>25</v>
      </c>
      <c r="G4" s="17">
        <v>1.0</v>
      </c>
      <c r="H4" s="16">
        <f t="shared" si="3"/>
        <v>25</v>
      </c>
      <c r="I4" s="17">
        <v>1.0</v>
      </c>
      <c r="J4" s="16">
        <f t="shared" si="4"/>
        <v>25</v>
      </c>
      <c r="K4" s="17">
        <v>1.0</v>
      </c>
      <c r="L4" s="16">
        <f t="shared" si="5"/>
        <v>25</v>
      </c>
      <c r="M4" s="17">
        <v>1.0</v>
      </c>
      <c r="N4" s="16">
        <f t="shared" si="6"/>
        <v>25</v>
      </c>
      <c r="O4" s="17">
        <v>1.0</v>
      </c>
      <c r="P4" s="16">
        <f t="shared" si="7"/>
        <v>25</v>
      </c>
      <c r="Q4" s="17">
        <v>1.0</v>
      </c>
      <c r="R4" s="16">
        <f t="shared" si="8"/>
        <v>25</v>
      </c>
      <c r="S4" s="17">
        <v>1.0</v>
      </c>
      <c r="T4" s="16">
        <f t="shared" si="9"/>
        <v>25</v>
      </c>
      <c r="U4" s="17">
        <v>1.0</v>
      </c>
      <c r="V4" s="16">
        <f t="shared" si="10"/>
        <v>25</v>
      </c>
      <c r="W4" s="18">
        <f t="shared" si="11"/>
        <v>10</v>
      </c>
      <c r="X4" s="18">
        <f t="shared" si="12"/>
        <v>250</v>
      </c>
      <c r="Y4" s="19">
        <v>1.0</v>
      </c>
    </row>
    <row r="5" ht="14.25" customHeight="1">
      <c r="A5" s="20" t="s">
        <v>18</v>
      </c>
      <c r="B5" s="21"/>
      <c r="C5" s="22">
        <f t="shared" ref="C5:X5" si="13">SUM(C3:C4)</f>
        <v>7</v>
      </c>
      <c r="D5" s="23">
        <f t="shared" si="13"/>
        <v>115</v>
      </c>
      <c r="E5" s="22">
        <f t="shared" si="13"/>
        <v>7</v>
      </c>
      <c r="F5" s="23">
        <f t="shared" si="13"/>
        <v>115</v>
      </c>
      <c r="G5" s="22">
        <f t="shared" si="13"/>
        <v>7</v>
      </c>
      <c r="H5" s="23">
        <f t="shared" si="13"/>
        <v>115</v>
      </c>
      <c r="I5" s="22">
        <f t="shared" si="13"/>
        <v>7</v>
      </c>
      <c r="J5" s="23">
        <f t="shared" si="13"/>
        <v>115</v>
      </c>
      <c r="K5" s="22">
        <f t="shared" si="13"/>
        <v>7</v>
      </c>
      <c r="L5" s="23">
        <f t="shared" si="13"/>
        <v>115</v>
      </c>
      <c r="M5" s="22">
        <f t="shared" si="13"/>
        <v>7</v>
      </c>
      <c r="N5" s="23">
        <f t="shared" si="13"/>
        <v>115</v>
      </c>
      <c r="O5" s="22">
        <f t="shared" si="13"/>
        <v>7</v>
      </c>
      <c r="P5" s="23">
        <f t="shared" si="13"/>
        <v>115</v>
      </c>
      <c r="Q5" s="22">
        <f t="shared" si="13"/>
        <v>7</v>
      </c>
      <c r="R5" s="23">
        <f t="shared" si="13"/>
        <v>115</v>
      </c>
      <c r="S5" s="22">
        <f t="shared" si="13"/>
        <v>7</v>
      </c>
      <c r="T5" s="23">
        <f t="shared" si="13"/>
        <v>115</v>
      </c>
      <c r="U5" s="22">
        <f t="shared" si="13"/>
        <v>7</v>
      </c>
      <c r="V5" s="23">
        <f t="shared" si="13"/>
        <v>115</v>
      </c>
      <c r="W5" s="24">
        <f t="shared" si="13"/>
        <v>370</v>
      </c>
      <c r="X5" s="25">
        <f t="shared" si="13"/>
        <v>5650</v>
      </c>
      <c r="Y5" s="8"/>
      <c r="Z5" s="8"/>
    </row>
    <row r="6" ht="14.25" customHeight="1">
      <c r="A6" s="26" t="s">
        <v>19</v>
      </c>
      <c r="B6" s="27"/>
      <c r="C6" s="28"/>
      <c r="D6" s="29">
        <f>D5</f>
        <v>115</v>
      </c>
      <c r="E6" s="28"/>
      <c r="F6" s="29">
        <f>F5+D6</f>
        <v>230</v>
      </c>
      <c r="G6" s="28"/>
      <c r="H6" s="29">
        <f>H5+F6</f>
        <v>345</v>
      </c>
      <c r="I6" s="28"/>
      <c r="J6" s="29">
        <f>J5+H6</f>
        <v>460</v>
      </c>
      <c r="K6" s="28"/>
      <c r="L6" s="29">
        <f>L5+J6</f>
        <v>575</v>
      </c>
      <c r="M6" s="28"/>
      <c r="N6" s="29">
        <f>N5+L6</f>
        <v>690</v>
      </c>
      <c r="O6" s="1"/>
      <c r="P6" s="1"/>
      <c r="Q6" s="1"/>
      <c r="R6" s="1"/>
      <c r="S6" s="1"/>
      <c r="T6" s="1"/>
      <c r="U6" s="1"/>
      <c r="V6" s="1"/>
      <c r="W6" s="30"/>
      <c r="X6" s="30"/>
      <c r="Y6" s="1"/>
      <c r="Z6" s="1"/>
    </row>
    <row r="7" ht="14.25" customHeight="1">
      <c r="B7" s="31" t="s">
        <v>20</v>
      </c>
      <c r="D7" s="32"/>
      <c r="F7" s="32"/>
      <c r="H7" s="32"/>
      <c r="J7" s="32"/>
      <c r="L7" s="32"/>
      <c r="N7" s="32"/>
      <c r="W7" s="33"/>
      <c r="X7" s="33"/>
    </row>
    <row r="8" ht="14.25" customHeight="1">
      <c r="A8" s="1" t="s">
        <v>16</v>
      </c>
      <c r="B8" s="14">
        <v>25.0</v>
      </c>
      <c r="C8" s="34">
        <v>6.0</v>
      </c>
      <c r="D8" s="16">
        <f t="shared" ref="D8:D9" si="14">C8*$B8</f>
        <v>150</v>
      </c>
      <c r="E8" s="34">
        <v>6.0</v>
      </c>
      <c r="F8" s="16">
        <f t="shared" ref="F8:F9" si="15">E8*$B8</f>
        <v>150</v>
      </c>
      <c r="G8" s="34">
        <v>6.0</v>
      </c>
      <c r="H8" s="16">
        <f t="shared" ref="H8:H9" si="16">G8*$B8</f>
        <v>150</v>
      </c>
      <c r="I8" s="34">
        <v>6.0</v>
      </c>
      <c r="J8" s="16">
        <f t="shared" ref="J8:J9" si="17">I8*$B8</f>
        <v>150</v>
      </c>
      <c r="K8" s="34">
        <v>6.0</v>
      </c>
      <c r="L8" s="16">
        <f t="shared" ref="L8:L9" si="18">K8*$B8</f>
        <v>150</v>
      </c>
      <c r="M8" s="34">
        <v>6.0</v>
      </c>
      <c r="N8" s="16">
        <f t="shared" ref="N8:N9" si="19">M8*$B8</f>
        <v>150</v>
      </c>
      <c r="O8" s="34">
        <v>6.0</v>
      </c>
      <c r="P8" s="16">
        <f t="shared" ref="P8:P9" si="20">O8*$B8</f>
        <v>150</v>
      </c>
      <c r="Q8" s="34">
        <v>6.0</v>
      </c>
      <c r="R8" s="16">
        <f t="shared" ref="R8:R9" si="21">Q8*$B8</f>
        <v>150</v>
      </c>
      <c r="S8" s="34">
        <v>6.0</v>
      </c>
      <c r="T8" s="16">
        <f t="shared" ref="T8:T9" si="22">S8*$B8</f>
        <v>150</v>
      </c>
      <c r="U8" s="34">
        <v>6.0</v>
      </c>
      <c r="V8" s="16">
        <f t="shared" ref="V8:V9" si="23">U8*$B8</f>
        <v>150</v>
      </c>
      <c r="W8" s="18">
        <f t="shared" ref="W8:W9" si="24">(C8+E8+G8+I8+K8+M8+O8+Q8+S8+U8)*Y8</f>
        <v>360</v>
      </c>
      <c r="X8" s="18">
        <f t="shared" ref="X8:X9" si="25">W8*B8</f>
        <v>9000</v>
      </c>
      <c r="Y8" s="19">
        <v>6.0</v>
      </c>
    </row>
    <row r="9" ht="14.25" customHeight="1">
      <c r="A9" s="35" t="s">
        <v>17</v>
      </c>
      <c r="B9" s="14">
        <v>40.0</v>
      </c>
      <c r="C9" s="34">
        <v>1.0</v>
      </c>
      <c r="D9" s="16">
        <f t="shared" si="14"/>
        <v>40</v>
      </c>
      <c r="E9" s="34">
        <v>1.0</v>
      </c>
      <c r="F9" s="16">
        <f t="shared" si="15"/>
        <v>40</v>
      </c>
      <c r="G9" s="34">
        <v>1.0</v>
      </c>
      <c r="H9" s="16">
        <f t="shared" si="16"/>
        <v>40</v>
      </c>
      <c r="I9" s="34">
        <v>1.0</v>
      </c>
      <c r="J9" s="16">
        <f t="shared" si="17"/>
        <v>40</v>
      </c>
      <c r="K9" s="34">
        <v>1.0</v>
      </c>
      <c r="L9" s="16">
        <f t="shared" si="18"/>
        <v>40</v>
      </c>
      <c r="M9" s="34">
        <v>1.0</v>
      </c>
      <c r="N9" s="16">
        <f t="shared" si="19"/>
        <v>40</v>
      </c>
      <c r="O9" s="34">
        <v>1.0</v>
      </c>
      <c r="P9" s="16">
        <f t="shared" si="20"/>
        <v>40</v>
      </c>
      <c r="Q9" s="34">
        <v>1.0</v>
      </c>
      <c r="R9" s="16">
        <f t="shared" si="21"/>
        <v>40</v>
      </c>
      <c r="S9" s="34">
        <v>1.0</v>
      </c>
      <c r="T9" s="16">
        <f t="shared" si="22"/>
        <v>40</v>
      </c>
      <c r="U9" s="34">
        <v>1.0</v>
      </c>
      <c r="V9" s="16">
        <f t="shared" si="23"/>
        <v>40</v>
      </c>
      <c r="W9" s="18">
        <f t="shared" si="24"/>
        <v>10</v>
      </c>
      <c r="X9" s="18">
        <f t="shared" si="25"/>
        <v>400</v>
      </c>
      <c r="Y9" s="19">
        <v>1.0</v>
      </c>
    </row>
    <row r="10" ht="14.25" customHeight="1">
      <c r="A10" s="20" t="s">
        <v>21</v>
      </c>
      <c r="B10" s="36"/>
      <c r="C10" s="22">
        <f t="shared" ref="C10:N10" si="26">SUM(C8:C9)</f>
        <v>7</v>
      </c>
      <c r="D10" s="37">
        <f t="shared" si="26"/>
        <v>190</v>
      </c>
      <c r="E10" s="22">
        <f t="shared" si="26"/>
        <v>7</v>
      </c>
      <c r="F10" s="37">
        <f t="shared" si="26"/>
        <v>190</v>
      </c>
      <c r="G10" s="22">
        <f t="shared" si="26"/>
        <v>7</v>
      </c>
      <c r="H10" s="37">
        <f t="shared" si="26"/>
        <v>190</v>
      </c>
      <c r="I10" s="22">
        <f t="shared" si="26"/>
        <v>7</v>
      </c>
      <c r="J10" s="37">
        <f t="shared" si="26"/>
        <v>190</v>
      </c>
      <c r="K10" s="22">
        <f t="shared" si="26"/>
        <v>7</v>
      </c>
      <c r="L10" s="37">
        <f t="shared" si="26"/>
        <v>190</v>
      </c>
      <c r="M10" s="22">
        <f t="shared" si="26"/>
        <v>7</v>
      </c>
      <c r="N10" s="37">
        <f t="shared" si="26"/>
        <v>190</v>
      </c>
      <c r="O10" s="1"/>
      <c r="P10" s="1"/>
      <c r="Q10" s="1"/>
      <c r="R10" s="1"/>
      <c r="S10" s="1"/>
      <c r="T10" s="1"/>
      <c r="U10" s="1"/>
      <c r="V10" s="1"/>
      <c r="W10" s="24">
        <f t="shared" ref="W10:X10" si="27">SUM(W8:W9)</f>
        <v>370</v>
      </c>
      <c r="X10" s="25">
        <f t="shared" si="27"/>
        <v>9400</v>
      </c>
      <c r="Y10" s="1"/>
      <c r="Z10" s="1"/>
    </row>
    <row r="11" ht="14.25" customHeight="1">
      <c r="A11" s="26" t="s">
        <v>22</v>
      </c>
      <c r="B11" s="27"/>
      <c r="C11" s="28"/>
      <c r="D11" s="29">
        <f>D10</f>
        <v>190</v>
      </c>
      <c r="E11" s="28"/>
      <c r="F11" s="29">
        <f>F10+D11</f>
        <v>380</v>
      </c>
      <c r="G11" s="28"/>
      <c r="H11" s="29">
        <f>H10+F11</f>
        <v>570</v>
      </c>
      <c r="I11" s="28"/>
      <c r="J11" s="29">
        <f>J10+H11</f>
        <v>760</v>
      </c>
      <c r="K11" s="28"/>
      <c r="L11" s="29">
        <f>L10+J11</f>
        <v>950</v>
      </c>
      <c r="M11" s="28"/>
      <c r="N11" s="29">
        <f>N10+L11</f>
        <v>1140</v>
      </c>
      <c r="O11" s="1"/>
      <c r="P11" s="1"/>
      <c r="Q11" s="1"/>
      <c r="R11" s="1"/>
      <c r="S11" s="1"/>
      <c r="T11" s="1"/>
      <c r="U11" s="1"/>
      <c r="V11" s="1"/>
      <c r="W11" s="30"/>
      <c r="X11" s="38">
        <f>X10-X5</f>
        <v>3750</v>
      </c>
      <c r="Y11" s="1"/>
      <c r="Z11" s="1"/>
    </row>
    <row r="12" ht="14.25" customHeight="1">
      <c r="A12" s="39"/>
      <c r="B12" s="40"/>
      <c r="C12" s="41"/>
      <c r="D12" s="42"/>
      <c r="E12" s="41"/>
      <c r="F12" s="42"/>
      <c r="G12" s="41"/>
      <c r="H12" s="42"/>
      <c r="I12" s="41"/>
      <c r="J12" s="42"/>
      <c r="K12" s="41"/>
      <c r="L12" s="42"/>
      <c r="M12" s="41"/>
      <c r="N12" s="42"/>
      <c r="O12" s="41"/>
      <c r="P12" s="41"/>
      <c r="Q12" s="41"/>
      <c r="R12" s="41"/>
      <c r="S12" s="41"/>
      <c r="T12" s="41"/>
      <c r="U12" s="41"/>
      <c r="V12" s="41"/>
      <c r="W12" s="43"/>
      <c r="X12" s="43"/>
      <c r="Y12" s="41"/>
      <c r="Z12" s="41"/>
    </row>
    <row r="13" ht="14.25" customHeight="1">
      <c r="A13" s="20" t="s">
        <v>23</v>
      </c>
      <c r="B13" s="36"/>
      <c r="C13" s="44"/>
      <c r="D13" s="45">
        <f>D10-D5</f>
        <v>75</v>
      </c>
      <c r="E13" s="44"/>
      <c r="F13" s="45">
        <f>F10-F5</f>
        <v>75</v>
      </c>
      <c r="G13" s="44"/>
      <c r="H13" s="45">
        <f>H10-H5</f>
        <v>75</v>
      </c>
      <c r="I13" s="44"/>
      <c r="J13" s="45">
        <f>J10-J5</f>
        <v>75</v>
      </c>
      <c r="K13" s="44"/>
      <c r="L13" s="45">
        <f>L10-L5</f>
        <v>75</v>
      </c>
      <c r="M13" s="44"/>
      <c r="N13" s="45">
        <f>N10-N5</f>
        <v>75</v>
      </c>
      <c r="O13" s="1"/>
      <c r="P13" s="1"/>
      <c r="Q13" s="1"/>
      <c r="R13" s="1"/>
      <c r="S13" s="1"/>
      <c r="T13" s="1"/>
      <c r="U13" s="1"/>
      <c r="V13" s="1"/>
      <c r="W13" s="46"/>
      <c r="X13" s="47">
        <f>X10-X5</f>
        <v>3750</v>
      </c>
      <c r="Y13" s="1"/>
      <c r="Z13" s="1"/>
    </row>
    <row r="14" ht="14.25" customHeight="1">
      <c r="A14" s="11" t="s">
        <v>24</v>
      </c>
      <c r="B14" s="48"/>
      <c r="D14" s="49">
        <f>B14+D13</f>
        <v>75</v>
      </c>
      <c r="F14" s="49">
        <f>D14+F13</f>
        <v>150</v>
      </c>
      <c r="H14" s="49">
        <f>F14+H13</f>
        <v>225</v>
      </c>
      <c r="J14" s="49">
        <f>H14+J13</f>
        <v>300</v>
      </c>
      <c r="L14" s="49">
        <f>J14+L13</f>
        <v>375</v>
      </c>
      <c r="N14" s="49">
        <f>L14+N13</f>
        <v>450</v>
      </c>
    </row>
    <row r="15" ht="14.25" customHeight="1">
      <c r="B15" s="48"/>
    </row>
    <row r="16" ht="14.25" customHeight="1">
      <c r="B16" s="48"/>
    </row>
    <row r="17" ht="18.0" customHeight="1">
      <c r="A17" s="8" t="s">
        <v>12</v>
      </c>
      <c r="B17" s="31" t="s">
        <v>20</v>
      </c>
      <c r="O17" s="50"/>
      <c r="P17" s="19" t="s">
        <v>25</v>
      </c>
      <c r="Q17" s="19" t="s">
        <v>26</v>
      </c>
    </row>
    <row r="18" ht="18.0" customHeight="1">
      <c r="A18" s="1"/>
      <c r="B18" s="14"/>
      <c r="F18" s="51" t="s">
        <v>27</v>
      </c>
      <c r="O18" s="52"/>
      <c r="P18" s="19" t="s">
        <v>28</v>
      </c>
      <c r="Q18" s="19" t="s">
        <v>29</v>
      </c>
    </row>
    <row r="19" ht="18.0" customHeight="1">
      <c r="A19" s="1"/>
      <c r="B19" s="14"/>
      <c r="F19" s="51" t="s">
        <v>30</v>
      </c>
      <c r="P19" s="19"/>
      <c r="Q19" s="19"/>
    </row>
    <row r="20" ht="18.0" customHeight="1">
      <c r="A20" s="1"/>
      <c r="B20" s="14"/>
      <c r="F20" s="51" t="s">
        <v>31</v>
      </c>
    </row>
    <row r="21" ht="18.0" customHeight="1">
      <c r="A21" s="1"/>
      <c r="B21" s="14"/>
      <c r="D21" s="51"/>
      <c r="E21" s="51"/>
      <c r="F21" s="51" t="s">
        <v>32</v>
      </c>
    </row>
    <row r="22" ht="18.0" customHeight="1">
      <c r="A22" s="1"/>
      <c r="B22" s="14"/>
    </row>
    <row r="23" ht="18.0" customHeight="1">
      <c r="A23" s="41"/>
      <c r="B23" s="53"/>
      <c r="F23" s="51" t="s">
        <v>33</v>
      </c>
    </row>
    <row r="24" ht="18.0" customHeight="1">
      <c r="B24" s="48"/>
      <c r="F24" s="51" t="s">
        <v>34</v>
      </c>
    </row>
    <row r="25" ht="18.0" customHeight="1">
      <c r="A25" s="8" t="s">
        <v>12</v>
      </c>
      <c r="B25" s="9" t="s">
        <v>13</v>
      </c>
      <c r="F25" s="51" t="s">
        <v>35</v>
      </c>
    </row>
    <row r="26" ht="18.0" customHeight="1">
      <c r="A26" s="1" t="s">
        <v>36</v>
      </c>
      <c r="B26" s="14"/>
      <c r="F26" s="51" t="s">
        <v>37</v>
      </c>
    </row>
    <row r="27" ht="18.0" customHeight="1">
      <c r="A27" s="1" t="s">
        <v>38</v>
      </c>
      <c r="B27" s="14"/>
    </row>
    <row r="28" ht="18.0" customHeight="1">
      <c r="A28" s="1" t="s">
        <v>39</v>
      </c>
      <c r="B28" s="14"/>
    </row>
    <row r="29" ht="18.0" customHeight="1">
      <c r="A29" s="1" t="s">
        <v>40</v>
      </c>
      <c r="B29" s="14"/>
    </row>
    <row r="30" ht="18.0" customHeight="1">
      <c r="A30" s="1" t="s">
        <v>41</v>
      </c>
      <c r="B30" s="14"/>
    </row>
    <row r="31" ht="18.0" customHeight="1">
      <c r="A31" s="41" t="s">
        <v>42</v>
      </c>
      <c r="B31" s="53"/>
    </row>
    <row r="32" ht="18.0" customHeight="1">
      <c r="B32" s="48"/>
    </row>
    <row r="33" ht="18.0" customHeight="1">
      <c r="B33" s="48"/>
    </row>
    <row r="34" ht="18.0" customHeight="1">
      <c r="B34" s="48"/>
    </row>
    <row r="35" ht="18.0" customHeight="1">
      <c r="B35" s="48"/>
    </row>
    <row r="36" ht="18.0" customHeight="1">
      <c r="B36" s="48"/>
    </row>
    <row r="37" ht="18.0" customHeight="1">
      <c r="B37" s="48"/>
    </row>
    <row r="38" ht="18.0" customHeight="1">
      <c r="B38" s="48"/>
    </row>
    <row r="39" ht="18.0" customHeight="1">
      <c r="B39" s="48"/>
    </row>
    <row r="40" ht="18.0" customHeight="1">
      <c r="B40" s="48"/>
    </row>
    <row r="41" ht="18.0" customHeight="1">
      <c r="B41" s="48"/>
    </row>
    <row r="42" ht="18.0" customHeight="1">
      <c r="B42" s="48"/>
    </row>
    <row r="43" ht="18.0" customHeight="1">
      <c r="B43" s="48"/>
    </row>
    <row r="44" ht="18.0" customHeight="1">
      <c r="B44" s="48"/>
    </row>
    <row r="45" ht="18.0" customHeight="1">
      <c r="B45" s="48"/>
    </row>
    <row r="46" ht="18.0" customHeight="1">
      <c r="B46" s="48"/>
    </row>
    <row r="47" ht="14.25" customHeight="1">
      <c r="A47" s="54"/>
      <c r="B47" s="48"/>
    </row>
    <row r="48" ht="14.25" customHeight="1">
      <c r="A48" s="54"/>
      <c r="B48" s="48"/>
    </row>
    <row r="49" ht="14.25" customHeight="1">
      <c r="A49" s="54"/>
      <c r="B49" s="48"/>
    </row>
    <row r="50" ht="14.25" customHeight="1">
      <c r="A50" s="54"/>
      <c r="B50" s="48"/>
    </row>
    <row r="51" ht="14.25" customHeight="1">
      <c r="A51" s="54"/>
      <c r="B51" s="48"/>
    </row>
    <row r="52" ht="14.25" customHeight="1">
      <c r="A52" s="54"/>
      <c r="B52" s="48"/>
    </row>
    <row r="53" ht="14.25" customHeight="1">
      <c r="A53" s="54"/>
      <c r="B53" s="48"/>
    </row>
    <row r="54" ht="14.25" customHeight="1">
      <c r="A54" s="54"/>
      <c r="B54" s="48"/>
    </row>
    <row r="55" ht="14.25" customHeight="1">
      <c r="A55" s="54"/>
      <c r="B55" s="48"/>
    </row>
    <row r="56" ht="14.25" customHeight="1">
      <c r="A56" s="54"/>
      <c r="B56" s="48"/>
    </row>
    <row r="57" ht="14.25" customHeight="1">
      <c r="A57" s="54"/>
      <c r="B57" s="48"/>
    </row>
    <row r="58" ht="14.25" customHeight="1">
      <c r="A58" s="54"/>
      <c r="B58" s="48"/>
    </row>
    <row r="59" ht="14.25" customHeight="1">
      <c r="A59" s="54"/>
      <c r="B59" s="48"/>
    </row>
    <row r="60" ht="14.25" customHeight="1">
      <c r="A60" s="54"/>
      <c r="B60" s="48"/>
    </row>
    <row r="61" ht="14.25" customHeight="1">
      <c r="A61" s="54"/>
      <c r="B61" s="48"/>
    </row>
    <row r="62" ht="14.25" customHeight="1">
      <c r="A62" s="54"/>
      <c r="B62" s="48"/>
    </row>
    <row r="63" ht="14.25" customHeight="1">
      <c r="A63" s="54"/>
      <c r="B63" s="48"/>
    </row>
    <row r="64" ht="14.25" customHeight="1">
      <c r="A64" s="54"/>
      <c r="B64" s="48"/>
    </row>
    <row r="65" ht="14.25" customHeight="1">
      <c r="A65" s="54"/>
      <c r="B65" s="48"/>
    </row>
    <row r="66" ht="14.25" customHeight="1">
      <c r="B66" s="48"/>
    </row>
    <row r="67" ht="14.25" customHeight="1">
      <c r="B67" s="48"/>
    </row>
    <row r="68" ht="14.25" customHeight="1">
      <c r="B68" s="48"/>
    </row>
    <row r="69" ht="14.25" customHeight="1">
      <c r="B69" s="48"/>
    </row>
    <row r="70" ht="14.25" customHeight="1">
      <c r="B70" s="48"/>
    </row>
    <row r="71" ht="14.25" customHeight="1">
      <c r="B71" s="48"/>
    </row>
    <row r="72" ht="14.25" customHeight="1">
      <c r="B72" s="48"/>
    </row>
    <row r="73" ht="14.25" customHeight="1">
      <c r="B73" s="48"/>
    </row>
    <row r="74" ht="14.25" customHeight="1">
      <c r="B74" s="48"/>
    </row>
    <row r="75" ht="14.25" customHeight="1">
      <c r="B75" s="48"/>
    </row>
    <row r="76" ht="14.25" customHeight="1">
      <c r="B76" s="48"/>
    </row>
    <row r="77" ht="14.25" customHeight="1">
      <c r="B77" s="48"/>
    </row>
    <row r="78" ht="14.25" customHeight="1">
      <c r="B78" s="48"/>
    </row>
    <row r="79" ht="14.25" customHeight="1">
      <c r="B79" s="48"/>
    </row>
    <row r="80" ht="14.25" customHeight="1">
      <c r="B80" s="48"/>
    </row>
    <row r="81" ht="14.25" customHeight="1">
      <c r="B81" s="48"/>
    </row>
    <row r="82" ht="14.25" customHeight="1">
      <c r="B82" s="48"/>
    </row>
    <row r="83" ht="14.25" customHeight="1">
      <c r="B83" s="48"/>
    </row>
    <row r="84" ht="14.25" customHeight="1">
      <c r="B84" s="48"/>
    </row>
    <row r="85" ht="14.25" customHeight="1">
      <c r="B85" s="48"/>
    </row>
    <row r="86" ht="14.25" customHeight="1">
      <c r="B86" s="48"/>
    </row>
    <row r="87" ht="14.25" customHeight="1">
      <c r="B87" s="48"/>
    </row>
    <row r="88" ht="14.25" customHeight="1">
      <c r="B88" s="48"/>
      <c r="D88" s="55">
        <f>D85+C88</f>
        <v>0</v>
      </c>
    </row>
    <row r="89" ht="14.25" customHeight="1">
      <c r="B89" s="48"/>
    </row>
    <row r="90" ht="14.25" customHeight="1">
      <c r="B90" s="48"/>
    </row>
    <row r="91" ht="14.25" customHeight="1">
      <c r="B91" s="48"/>
      <c r="D91" s="55">
        <f>D88+C91</f>
        <v>0</v>
      </c>
    </row>
    <row r="92" ht="14.25" customHeight="1">
      <c r="B92" s="48"/>
    </row>
    <row r="93" ht="14.25" customHeight="1">
      <c r="B93" s="48"/>
    </row>
    <row r="94" ht="14.25" customHeight="1">
      <c r="B94" s="48"/>
      <c r="D94" s="55">
        <f>D91+C94</f>
        <v>0</v>
      </c>
    </row>
    <row r="95" ht="14.25" customHeight="1">
      <c r="B95" s="48"/>
    </row>
    <row r="96" ht="14.25" customHeight="1">
      <c r="B96" s="48"/>
    </row>
    <row r="97" ht="14.25" customHeight="1">
      <c r="B97" s="48"/>
    </row>
    <row r="98" ht="14.25" customHeight="1">
      <c r="B98" s="48"/>
    </row>
    <row r="99" ht="14.25" customHeight="1">
      <c r="B99" s="48"/>
    </row>
    <row r="100" ht="14.25" customHeight="1">
      <c r="B100" s="48"/>
    </row>
    <row r="101" ht="14.25" customHeight="1">
      <c r="B101" s="48"/>
    </row>
    <row r="102" ht="14.25" customHeight="1">
      <c r="B102" s="48"/>
    </row>
    <row r="103" ht="14.25" customHeight="1">
      <c r="B103" s="48"/>
    </row>
    <row r="104" ht="14.25" customHeight="1">
      <c r="B104" s="48"/>
    </row>
    <row r="105" ht="14.25" customHeight="1">
      <c r="B105" s="48"/>
    </row>
    <row r="106" ht="14.25" customHeight="1">
      <c r="B106" s="48"/>
    </row>
    <row r="107" ht="14.25" customHeight="1">
      <c r="B107" s="48"/>
    </row>
    <row r="108" ht="14.25" customHeight="1">
      <c r="B108" s="48"/>
    </row>
    <row r="109" ht="14.25" customHeight="1">
      <c r="B109" s="48"/>
    </row>
    <row r="110" ht="14.25" customHeight="1">
      <c r="B110" s="48"/>
    </row>
    <row r="111" ht="14.25" customHeight="1">
      <c r="B111" s="48"/>
    </row>
    <row r="112" ht="14.25" customHeight="1">
      <c r="B112" s="48"/>
    </row>
    <row r="113" ht="14.25" customHeight="1">
      <c r="B113" s="48"/>
    </row>
    <row r="114" ht="14.25" customHeight="1">
      <c r="B114" s="48"/>
    </row>
    <row r="115" ht="14.25" customHeight="1">
      <c r="B115" s="48"/>
    </row>
    <row r="116" ht="14.25" customHeight="1">
      <c r="B116" s="48"/>
    </row>
    <row r="117" ht="14.25" customHeight="1">
      <c r="B117" s="48"/>
    </row>
    <row r="118" ht="14.25" customHeight="1">
      <c r="B118" s="48"/>
    </row>
    <row r="119" ht="14.25" customHeight="1">
      <c r="B119" s="48"/>
    </row>
    <row r="120" ht="14.25" customHeight="1">
      <c r="B120" s="48"/>
    </row>
    <row r="121" ht="14.25" customHeight="1">
      <c r="B121" s="48"/>
    </row>
    <row r="122" ht="14.25" customHeight="1">
      <c r="B122" s="48"/>
    </row>
    <row r="123" ht="14.25" customHeight="1">
      <c r="B123" s="48"/>
    </row>
    <row r="124" ht="14.25" customHeight="1">
      <c r="B124" s="48"/>
    </row>
    <row r="125" ht="14.25" customHeight="1">
      <c r="B125" s="48"/>
    </row>
    <row r="126" ht="14.25" customHeight="1">
      <c r="B126" s="48"/>
    </row>
    <row r="127" ht="14.25" customHeight="1">
      <c r="B127" s="48"/>
    </row>
    <row r="128" ht="14.25" customHeight="1">
      <c r="B128" s="48"/>
    </row>
    <row r="129" ht="14.25" customHeight="1">
      <c r="B129" s="48"/>
    </row>
    <row r="130" ht="14.25" customHeight="1">
      <c r="B130" s="48"/>
    </row>
    <row r="131" ht="14.25" customHeight="1">
      <c r="B131" s="48"/>
    </row>
    <row r="132" ht="14.25" customHeight="1">
      <c r="B132" s="48"/>
    </row>
    <row r="133" ht="14.25" customHeight="1">
      <c r="B133" s="48"/>
    </row>
    <row r="134" ht="14.25" customHeight="1">
      <c r="B134" s="48"/>
    </row>
    <row r="135" ht="14.25" customHeight="1">
      <c r="B135" s="48"/>
    </row>
    <row r="136" ht="14.25" customHeight="1">
      <c r="B136" s="48"/>
    </row>
    <row r="137" ht="14.25" customHeight="1">
      <c r="B137" s="48"/>
    </row>
    <row r="138" ht="14.25" customHeight="1">
      <c r="B138" s="48"/>
    </row>
    <row r="139" ht="14.25" customHeight="1">
      <c r="B139" s="48"/>
    </row>
    <row r="140" ht="14.25" customHeight="1">
      <c r="B140" s="48"/>
    </row>
    <row r="141" ht="14.25" customHeight="1">
      <c r="B141" s="48"/>
    </row>
    <row r="142" ht="14.25" customHeight="1">
      <c r="B142" s="48"/>
    </row>
    <row r="143" ht="14.25" customHeight="1">
      <c r="B143" s="48"/>
    </row>
    <row r="144" ht="14.25" customHeight="1">
      <c r="B144" s="48"/>
    </row>
    <row r="145" ht="14.25" customHeight="1">
      <c r="B145" s="48"/>
    </row>
    <row r="146" ht="14.25" customHeight="1">
      <c r="B146" s="48"/>
    </row>
    <row r="147" ht="14.25" customHeight="1">
      <c r="B147" s="48"/>
    </row>
    <row r="148" ht="14.25" customHeight="1">
      <c r="B148" s="48"/>
    </row>
    <row r="149" ht="14.25" customHeight="1">
      <c r="B149" s="48"/>
    </row>
    <row r="150" ht="14.25" customHeight="1">
      <c r="B150" s="48"/>
    </row>
    <row r="151" ht="14.25" customHeight="1">
      <c r="B151" s="48"/>
    </row>
    <row r="152" ht="14.25" customHeight="1">
      <c r="B152" s="48"/>
    </row>
    <row r="153" ht="14.25" customHeight="1">
      <c r="B153" s="48"/>
    </row>
    <row r="154" ht="14.25" customHeight="1">
      <c r="B154" s="48"/>
    </row>
    <row r="155" ht="14.25" customHeight="1">
      <c r="B155" s="48"/>
    </row>
    <row r="156" ht="14.25" customHeight="1">
      <c r="B156" s="48"/>
    </row>
    <row r="157" ht="14.25" customHeight="1">
      <c r="B157" s="48"/>
    </row>
    <row r="158" ht="14.25" customHeight="1">
      <c r="B158" s="48"/>
    </row>
    <row r="159" ht="14.25" customHeight="1">
      <c r="B159" s="48"/>
    </row>
    <row r="160" ht="14.25" customHeight="1">
      <c r="B160" s="48"/>
    </row>
    <row r="161" ht="14.25" customHeight="1">
      <c r="B161" s="48"/>
    </row>
    <row r="162" ht="14.25" customHeight="1">
      <c r="B162" s="48"/>
    </row>
    <row r="163" ht="14.25" customHeight="1">
      <c r="B163" s="48"/>
    </row>
    <row r="164" ht="14.25" customHeight="1">
      <c r="B164" s="48"/>
    </row>
    <row r="165" ht="14.25" customHeight="1">
      <c r="B165" s="48"/>
    </row>
    <row r="166" ht="14.25" customHeight="1">
      <c r="B166" s="48"/>
    </row>
    <row r="167" ht="14.25" customHeight="1">
      <c r="B167" s="48"/>
    </row>
    <row r="168" ht="14.25" customHeight="1">
      <c r="B168" s="48"/>
    </row>
    <row r="169" ht="14.25" customHeight="1">
      <c r="B169" s="48"/>
    </row>
    <row r="170" ht="14.25" customHeight="1">
      <c r="B170" s="48"/>
    </row>
    <row r="171" ht="14.25" customHeight="1">
      <c r="B171" s="48"/>
    </row>
    <row r="172" ht="14.25" customHeight="1">
      <c r="B172" s="48"/>
    </row>
    <row r="173" ht="14.25" customHeight="1">
      <c r="B173" s="48"/>
    </row>
    <row r="174" ht="14.25" customHeight="1">
      <c r="B174" s="48"/>
    </row>
    <row r="175" ht="14.25" customHeight="1">
      <c r="B175" s="48"/>
    </row>
    <row r="176" ht="14.25" customHeight="1">
      <c r="B176" s="48"/>
    </row>
    <row r="177" ht="14.25" customHeight="1">
      <c r="B177" s="48"/>
    </row>
    <row r="178" ht="14.25" customHeight="1">
      <c r="B178" s="48"/>
    </row>
    <row r="179" ht="14.25" customHeight="1">
      <c r="B179" s="48"/>
    </row>
    <row r="180" ht="14.25" customHeight="1">
      <c r="B180" s="48"/>
    </row>
    <row r="181" ht="14.25" customHeight="1">
      <c r="B181" s="48"/>
    </row>
    <row r="182" ht="14.25" customHeight="1">
      <c r="B182" s="48"/>
    </row>
    <row r="183" ht="14.25" customHeight="1">
      <c r="B183" s="48"/>
    </row>
    <row r="184" ht="14.25" customHeight="1">
      <c r="B184" s="48"/>
    </row>
    <row r="185" ht="14.25" customHeight="1">
      <c r="B185" s="48"/>
    </row>
    <row r="186" ht="14.25" customHeight="1">
      <c r="B186" s="48"/>
    </row>
    <row r="187" ht="14.25" customHeight="1">
      <c r="B187" s="48"/>
    </row>
    <row r="188" ht="14.25" customHeight="1">
      <c r="B188" s="48"/>
    </row>
    <row r="189" ht="14.25" customHeight="1">
      <c r="B189" s="48"/>
    </row>
    <row r="190" ht="14.25" customHeight="1">
      <c r="B190" s="48"/>
    </row>
    <row r="191" ht="14.25" customHeight="1">
      <c r="B191" s="48"/>
    </row>
    <row r="192" ht="14.25" customHeight="1">
      <c r="B192" s="48"/>
    </row>
    <row r="193" ht="14.25" customHeight="1">
      <c r="B193" s="48"/>
    </row>
    <row r="194" ht="14.25" customHeight="1">
      <c r="B194" s="48"/>
    </row>
    <row r="195" ht="14.25" customHeight="1">
      <c r="B195" s="48"/>
    </row>
    <row r="196" ht="14.25" customHeight="1">
      <c r="B196" s="48"/>
    </row>
    <row r="197" ht="14.25" customHeight="1">
      <c r="B197" s="48"/>
    </row>
    <row r="198" ht="14.25" customHeight="1">
      <c r="B198" s="48"/>
    </row>
    <row r="199" ht="14.25" customHeight="1">
      <c r="B199" s="48"/>
    </row>
    <row r="200" ht="14.25" customHeight="1">
      <c r="B200" s="48"/>
    </row>
    <row r="201" ht="14.25" customHeight="1">
      <c r="B201" s="48"/>
    </row>
    <row r="202" ht="14.25" customHeight="1">
      <c r="B202" s="48"/>
    </row>
    <row r="203" ht="14.25" customHeight="1">
      <c r="B203" s="48"/>
    </row>
    <row r="204" ht="14.25" customHeight="1">
      <c r="B204" s="48"/>
    </row>
    <row r="205" ht="14.25" customHeight="1">
      <c r="B205" s="48"/>
    </row>
    <row r="206" ht="14.25" customHeight="1">
      <c r="B206" s="48"/>
    </row>
    <row r="207" ht="14.25" customHeight="1">
      <c r="B207" s="48"/>
    </row>
    <row r="208" ht="14.25" customHeight="1">
      <c r="B208" s="48"/>
    </row>
    <row r="209" ht="14.25" customHeight="1">
      <c r="B209" s="48"/>
    </row>
    <row r="210" ht="14.25" customHeight="1">
      <c r="B210" s="48"/>
    </row>
    <row r="211" ht="14.25" customHeight="1">
      <c r="B211" s="48"/>
    </row>
    <row r="212" ht="14.25" customHeight="1">
      <c r="B212" s="48"/>
    </row>
    <row r="213" ht="14.25" customHeight="1">
      <c r="B213" s="48"/>
    </row>
    <row r="214" ht="14.25" customHeight="1">
      <c r="B214" s="48"/>
    </row>
    <row r="215" ht="14.25" customHeight="1">
      <c r="B215" s="48"/>
    </row>
    <row r="216" ht="14.25" customHeight="1">
      <c r="B216" s="48"/>
    </row>
    <row r="217" ht="14.25" customHeight="1">
      <c r="B217" s="48"/>
    </row>
    <row r="218" ht="14.25" customHeight="1">
      <c r="B218" s="48"/>
    </row>
    <row r="219" ht="14.25" customHeight="1">
      <c r="B219" s="48"/>
    </row>
    <row r="220" ht="14.25" customHeight="1">
      <c r="B220" s="48"/>
    </row>
    <row r="221" ht="14.25" customHeight="1">
      <c r="B221" s="48"/>
    </row>
    <row r="222" ht="14.25" customHeight="1">
      <c r="B222" s="48"/>
    </row>
    <row r="223" ht="14.25" customHeight="1">
      <c r="B223" s="48"/>
    </row>
    <row r="224" ht="14.25" customHeight="1">
      <c r="B224" s="48"/>
    </row>
    <row r="225" ht="14.25" customHeight="1">
      <c r="B225" s="48"/>
    </row>
    <row r="226" ht="14.25" customHeight="1">
      <c r="B226" s="48"/>
    </row>
    <row r="227" ht="14.25" customHeight="1">
      <c r="B227" s="48"/>
    </row>
    <row r="228" ht="14.25" customHeight="1">
      <c r="B228" s="48"/>
    </row>
    <row r="229" ht="14.25" customHeight="1">
      <c r="B229" s="48"/>
    </row>
    <row r="230" ht="14.25" customHeight="1">
      <c r="B230" s="48"/>
    </row>
    <row r="231" ht="14.25" customHeight="1">
      <c r="B231" s="48"/>
    </row>
    <row r="232" ht="14.25" customHeight="1">
      <c r="B232" s="48"/>
    </row>
    <row r="233" ht="14.25" customHeight="1">
      <c r="B233" s="48"/>
    </row>
    <row r="234" ht="14.25" customHeight="1">
      <c r="B234" s="48"/>
    </row>
    <row r="235" ht="14.25" customHeight="1">
      <c r="B235" s="48"/>
    </row>
    <row r="236" ht="14.25" customHeight="1">
      <c r="B236" s="48"/>
    </row>
    <row r="237" ht="14.25" customHeight="1">
      <c r="B237" s="48"/>
    </row>
    <row r="238" ht="14.25" customHeight="1">
      <c r="B238" s="48"/>
    </row>
    <row r="239" ht="14.25" customHeight="1">
      <c r="B239" s="48"/>
    </row>
    <row r="240" ht="14.25" customHeight="1">
      <c r="B240" s="48"/>
    </row>
    <row r="241" ht="14.25" customHeight="1">
      <c r="B241" s="48"/>
    </row>
    <row r="242" ht="14.25" customHeight="1">
      <c r="B242" s="48"/>
    </row>
    <row r="243" ht="14.25" customHeight="1">
      <c r="B243" s="48"/>
    </row>
    <row r="244" ht="14.25" customHeight="1">
      <c r="B244" s="48"/>
    </row>
    <row r="245" ht="14.25" customHeight="1">
      <c r="B245" s="48"/>
    </row>
    <row r="246" ht="14.25" customHeight="1">
      <c r="B246" s="48"/>
    </row>
    <row r="247" ht="14.25" customHeight="1">
      <c r="B247" s="48"/>
    </row>
    <row r="248" ht="14.25" customHeight="1">
      <c r="B248" s="48"/>
    </row>
    <row r="249" ht="14.25" customHeight="1">
      <c r="B249" s="48"/>
    </row>
    <row r="250" ht="14.25" customHeight="1">
      <c r="B250" s="48"/>
    </row>
    <row r="251" ht="14.25" customHeight="1">
      <c r="B251" s="48"/>
    </row>
    <row r="252" ht="14.25" customHeight="1">
      <c r="B252" s="48"/>
    </row>
    <row r="253" ht="14.25" customHeight="1">
      <c r="B253" s="48"/>
    </row>
    <row r="254" ht="14.25" customHeight="1">
      <c r="B254" s="48"/>
    </row>
    <row r="255" ht="14.25" customHeight="1">
      <c r="B255" s="48"/>
    </row>
    <row r="256" ht="14.25" customHeight="1">
      <c r="B256" s="48"/>
    </row>
    <row r="257" ht="14.25" customHeight="1">
      <c r="B257" s="48"/>
    </row>
    <row r="258" ht="14.25" customHeight="1">
      <c r="B258" s="48"/>
    </row>
    <row r="259" ht="14.25" customHeight="1">
      <c r="B259" s="48"/>
    </row>
    <row r="260" ht="14.25" customHeight="1">
      <c r="B260" s="48"/>
    </row>
    <row r="261" ht="14.25" customHeight="1">
      <c r="B261" s="48"/>
    </row>
    <row r="262" ht="14.25" customHeight="1">
      <c r="B262" s="48"/>
    </row>
    <row r="263" ht="14.25" customHeight="1">
      <c r="B263" s="48"/>
    </row>
    <row r="264" ht="14.25" customHeight="1">
      <c r="B264" s="48"/>
    </row>
    <row r="265" ht="14.25" customHeight="1">
      <c r="B265" s="48"/>
    </row>
    <row r="266" ht="14.25" customHeight="1">
      <c r="B266" s="48"/>
    </row>
    <row r="267" ht="14.25" customHeight="1">
      <c r="B267" s="48"/>
    </row>
    <row r="268" ht="14.25" customHeight="1">
      <c r="B268" s="48"/>
    </row>
    <row r="269" ht="14.25" customHeight="1">
      <c r="B269" s="48"/>
    </row>
    <row r="270" ht="14.25" customHeight="1">
      <c r="B270" s="48"/>
    </row>
    <row r="271" ht="14.25" customHeight="1">
      <c r="B271" s="48"/>
    </row>
    <row r="272" ht="14.25" customHeight="1">
      <c r="B272" s="48"/>
    </row>
    <row r="273" ht="14.25" customHeight="1">
      <c r="B273" s="48"/>
    </row>
    <row r="274" ht="14.25" customHeight="1">
      <c r="B274" s="48"/>
    </row>
    <row r="275" ht="14.25" customHeight="1">
      <c r="B275" s="48"/>
    </row>
    <row r="276" ht="14.25" customHeight="1">
      <c r="B276" s="48"/>
    </row>
    <row r="277" ht="14.25" customHeight="1">
      <c r="B277" s="48"/>
    </row>
    <row r="278" ht="14.25" customHeight="1">
      <c r="B278" s="48"/>
    </row>
    <row r="279" ht="14.25" customHeight="1">
      <c r="B279" s="48"/>
    </row>
    <row r="280" ht="14.25" customHeight="1">
      <c r="B280" s="48"/>
    </row>
    <row r="281" ht="14.25" customHeight="1">
      <c r="B281" s="48"/>
    </row>
    <row r="282" ht="14.25" customHeight="1">
      <c r="B282" s="48"/>
    </row>
    <row r="283" ht="14.25" customHeight="1">
      <c r="B283" s="48"/>
    </row>
    <row r="284" ht="14.25" customHeight="1">
      <c r="B284" s="48"/>
    </row>
    <row r="285" ht="14.25" customHeight="1">
      <c r="B285" s="48"/>
    </row>
    <row r="286" ht="14.25" customHeight="1">
      <c r="B286" s="48"/>
    </row>
    <row r="287" ht="14.25" customHeight="1">
      <c r="B287" s="48"/>
    </row>
    <row r="288" ht="14.25" customHeight="1">
      <c r="B288" s="48"/>
    </row>
    <row r="289" ht="14.25" customHeight="1">
      <c r="B289" s="48"/>
    </row>
    <row r="290" ht="14.25" customHeight="1">
      <c r="B290" s="48"/>
    </row>
    <row r="291" ht="14.25" customHeight="1">
      <c r="B291" s="48"/>
    </row>
    <row r="292" ht="14.25" customHeight="1">
      <c r="B292" s="48"/>
    </row>
    <row r="293" ht="14.25" customHeight="1">
      <c r="B293" s="48"/>
    </row>
    <row r="294" ht="14.25" customHeight="1">
      <c r="B294" s="48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1">
    <mergeCell ref="Q1:R1"/>
    <mergeCell ref="S1:T1"/>
    <mergeCell ref="U1:V1"/>
    <mergeCell ref="W1:X1"/>
    <mergeCell ref="C1:D1"/>
    <mergeCell ref="E1:F1"/>
    <mergeCell ref="G1:H1"/>
    <mergeCell ref="I1:J1"/>
    <mergeCell ref="K1:L1"/>
    <mergeCell ref="M1:N1"/>
    <mergeCell ref="O1:P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6.57"/>
    <col customWidth="1" min="2" max="2" width="12.57"/>
    <col customWidth="1" min="3" max="3" width="6.43"/>
    <col customWidth="1" min="4" max="4" width="13.71"/>
    <col customWidth="1" min="5" max="5" width="9.43"/>
    <col customWidth="1" min="6" max="6" width="13.57"/>
    <col customWidth="1" min="7" max="7" width="9.43"/>
    <col customWidth="1" min="8" max="8" width="13.57"/>
    <col customWidth="1" min="9" max="9" width="9.43"/>
    <col customWidth="1" min="10" max="10" width="13.57"/>
    <col customWidth="1" min="11" max="11" width="9.43"/>
    <col customWidth="1" min="12" max="12" width="13.57"/>
    <col customWidth="1" min="13" max="13" width="9.43"/>
    <col customWidth="1" min="14" max="14" width="13.57"/>
    <col customWidth="1" min="15" max="15" width="9.43"/>
    <col customWidth="1" min="16" max="16" width="13.57"/>
    <col customWidth="1" min="17" max="17" width="9.43"/>
    <col customWidth="1" min="18" max="18" width="13.57"/>
    <col customWidth="1" min="19" max="19" width="9.43"/>
    <col customWidth="1" min="20" max="20" width="13.57"/>
    <col customWidth="1" min="21" max="21" width="9.43"/>
    <col customWidth="1" min="22" max="22" width="13.57"/>
    <col customWidth="1" min="23" max="23" width="8.71"/>
    <col customWidth="1" min="24" max="24" width="10.86"/>
    <col customWidth="1" min="25" max="25" width="11.86"/>
    <col customWidth="1" min="26" max="26" width="8.71"/>
  </cols>
  <sheetData>
    <row r="1" ht="14.25" customHeight="1">
      <c r="A1" s="1"/>
      <c r="B1" s="56"/>
      <c r="C1" s="3" t="s">
        <v>0</v>
      </c>
      <c r="D1" s="4"/>
      <c r="E1" s="5" t="s">
        <v>1</v>
      </c>
      <c r="F1" s="4"/>
      <c r="G1" s="3" t="s">
        <v>2</v>
      </c>
      <c r="H1" s="4"/>
      <c r="I1" s="5" t="s">
        <v>3</v>
      </c>
      <c r="J1" s="4"/>
      <c r="K1" s="3" t="s">
        <v>4</v>
      </c>
      <c r="L1" s="4"/>
      <c r="M1" s="5" t="s">
        <v>5</v>
      </c>
      <c r="N1" s="4"/>
      <c r="O1" s="3" t="s">
        <v>6</v>
      </c>
      <c r="P1" s="4"/>
      <c r="Q1" s="5" t="s">
        <v>7</v>
      </c>
      <c r="R1" s="4"/>
      <c r="S1" s="3" t="s">
        <v>8</v>
      </c>
      <c r="T1" s="4"/>
      <c r="U1" s="5" t="s">
        <v>9</v>
      </c>
      <c r="V1" s="4"/>
      <c r="W1" s="19" t="s">
        <v>11</v>
      </c>
      <c r="X1" s="6" t="s">
        <v>10</v>
      </c>
      <c r="Y1" s="4"/>
    </row>
    <row r="2" ht="14.25" customHeight="1">
      <c r="A2" s="8" t="s">
        <v>12</v>
      </c>
      <c r="B2" s="9" t="s">
        <v>13</v>
      </c>
      <c r="C2" s="10" t="s">
        <v>14</v>
      </c>
      <c r="D2" s="11" t="s">
        <v>15</v>
      </c>
      <c r="E2" s="10" t="s">
        <v>14</v>
      </c>
      <c r="F2" s="11" t="s">
        <v>15</v>
      </c>
      <c r="G2" s="10" t="s">
        <v>14</v>
      </c>
      <c r="H2" s="11" t="s">
        <v>15</v>
      </c>
      <c r="I2" s="10" t="s">
        <v>14</v>
      </c>
      <c r="J2" s="11" t="s">
        <v>15</v>
      </c>
      <c r="K2" s="10" t="s">
        <v>14</v>
      </c>
      <c r="L2" s="11" t="s">
        <v>15</v>
      </c>
      <c r="M2" s="10" t="s">
        <v>14</v>
      </c>
      <c r="N2" s="11" t="s">
        <v>15</v>
      </c>
      <c r="O2" s="10" t="s">
        <v>14</v>
      </c>
      <c r="P2" s="11" t="s">
        <v>15</v>
      </c>
      <c r="Q2" s="10" t="s">
        <v>14</v>
      </c>
      <c r="R2" s="11" t="s">
        <v>15</v>
      </c>
      <c r="S2" s="10" t="s">
        <v>14</v>
      </c>
      <c r="T2" s="11" t="s">
        <v>15</v>
      </c>
      <c r="U2" s="10" t="s">
        <v>14</v>
      </c>
      <c r="V2" s="11" t="s">
        <v>15</v>
      </c>
      <c r="X2" s="12" t="s">
        <v>14</v>
      </c>
      <c r="Y2" s="13" t="s">
        <v>15</v>
      </c>
    </row>
    <row r="3" ht="14.25" customHeight="1">
      <c r="A3" s="1" t="s">
        <v>16</v>
      </c>
      <c r="B3" s="57">
        <v>15.0</v>
      </c>
      <c r="C3" s="34">
        <v>6.0</v>
      </c>
      <c r="D3" s="16">
        <f t="shared" ref="D3:D4" si="1">C3*$B3</f>
        <v>90</v>
      </c>
      <c r="E3" s="34">
        <v>6.0</v>
      </c>
      <c r="F3" s="16">
        <f t="shared" ref="F3:F4" si="2">E3*$B3</f>
        <v>90</v>
      </c>
      <c r="G3" s="34">
        <v>6.0</v>
      </c>
      <c r="H3" s="16">
        <f t="shared" ref="H3:H4" si="3">G3*$B3</f>
        <v>90</v>
      </c>
      <c r="I3" s="34">
        <v>6.0</v>
      </c>
      <c r="J3" s="16">
        <f t="shared" ref="J3:J4" si="4">I3*$B3</f>
        <v>90</v>
      </c>
      <c r="K3" s="34">
        <v>6.0</v>
      </c>
      <c r="L3" s="16">
        <f t="shared" ref="L3:L4" si="5">K3*$B3</f>
        <v>90</v>
      </c>
      <c r="M3" s="34">
        <v>6.0</v>
      </c>
      <c r="N3" s="16">
        <f t="shared" ref="N3:N4" si="6">M3*$B3</f>
        <v>90</v>
      </c>
      <c r="O3" s="34">
        <v>6.0</v>
      </c>
      <c r="P3" s="16">
        <f t="shared" ref="P3:P4" si="7">O3*$B3</f>
        <v>90</v>
      </c>
      <c r="Q3" s="34">
        <v>6.0</v>
      </c>
      <c r="R3" s="16">
        <f t="shared" ref="R3:R4" si="8">Q3*$B3</f>
        <v>90</v>
      </c>
      <c r="S3" s="34">
        <v>6.0</v>
      </c>
      <c r="T3" s="16">
        <f t="shared" ref="T3:T4" si="9">S3*$B3</f>
        <v>90</v>
      </c>
      <c r="U3" s="34">
        <v>6.0</v>
      </c>
      <c r="V3" s="16">
        <f t="shared" ref="V3:V4" si="10">U3*$B3</f>
        <v>90</v>
      </c>
      <c r="W3" s="19">
        <v>6.0</v>
      </c>
      <c r="X3" s="18">
        <f t="shared" ref="X3:X4" si="11">(C3+E3+G3+I3+K3+M3+O3+Q3+S3+U3)*W3</f>
        <v>360</v>
      </c>
      <c r="Y3" s="18">
        <f t="shared" ref="Y3:Y4" si="12">X3*B3</f>
        <v>5400</v>
      </c>
    </row>
    <row r="4" ht="14.25" customHeight="1">
      <c r="A4" s="1" t="s">
        <v>17</v>
      </c>
      <c r="B4" s="57">
        <v>25.0</v>
      </c>
      <c r="C4" s="34">
        <v>1.0</v>
      </c>
      <c r="D4" s="16">
        <f t="shared" si="1"/>
        <v>25</v>
      </c>
      <c r="E4" s="34">
        <v>1.0</v>
      </c>
      <c r="F4" s="16">
        <f t="shared" si="2"/>
        <v>25</v>
      </c>
      <c r="G4" s="34">
        <v>1.0</v>
      </c>
      <c r="H4" s="16">
        <f t="shared" si="3"/>
        <v>25</v>
      </c>
      <c r="I4" s="34">
        <v>1.0</v>
      </c>
      <c r="J4" s="16">
        <f t="shared" si="4"/>
        <v>25</v>
      </c>
      <c r="K4" s="34">
        <v>1.0</v>
      </c>
      <c r="L4" s="16">
        <f t="shared" si="5"/>
        <v>25</v>
      </c>
      <c r="M4" s="34">
        <v>1.0</v>
      </c>
      <c r="N4" s="16">
        <f t="shared" si="6"/>
        <v>25</v>
      </c>
      <c r="O4" s="34">
        <v>1.0</v>
      </c>
      <c r="P4" s="16">
        <f t="shared" si="7"/>
        <v>25</v>
      </c>
      <c r="Q4" s="34">
        <v>1.0</v>
      </c>
      <c r="R4" s="16">
        <f t="shared" si="8"/>
        <v>25</v>
      </c>
      <c r="S4" s="34">
        <v>1.0</v>
      </c>
      <c r="T4" s="16">
        <f t="shared" si="9"/>
        <v>25</v>
      </c>
      <c r="U4" s="34">
        <v>1.0</v>
      </c>
      <c r="V4" s="16">
        <f t="shared" si="10"/>
        <v>25</v>
      </c>
      <c r="W4" s="19">
        <v>1.0</v>
      </c>
      <c r="X4" s="18">
        <f t="shared" si="11"/>
        <v>10</v>
      </c>
      <c r="Y4" s="18">
        <f t="shared" si="12"/>
        <v>250</v>
      </c>
    </row>
    <row r="5" ht="14.25" customHeight="1">
      <c r="A5" s="20" t="s">
        <v>43</v>
      </c>
      <c r="B5" s="21"/>
      <c r="C5" s="22">
        <f t="shared" ref="C5:V5" si="13">SUM(C3:C4)</f>
        <v>7</v>
      </c>
      <c r="D5" s="23">
        <f t="shared" si="13"/>
        <v>115</v>
      </c>
      <c r="E5" s="22">
        <f t="shared" si="13"/>
        <v>7</v>
      </c>
      <c r="F5" s="23">
        <f t="shared" si="13"/>
        <v>115</v>
      </c>
      <c r="G5" s="22">
        <f t="shared" si="13"/>
        <v>7</v>
      </c>
      <c r="H5" s="23">
        <f t="shared" si="13"/>
        <v>115</v>
      </c>
      <c r="I5" s="22">
        <f t="shared" si="13"/>
        <v>7</v>
      </c>
      <c r="J5" s="23">
        <f t="shared" si="13"/>
        <v>115</v>
      </c>
      <c r="K5" s="22">
        <f t="shared" si="13"/>
        <v>7</v>
      </c>
      <c r="L5" s="23">
        <f t="shared" si="13"/>
        <v>115</v>
      </c>
      <c r="M5" s="22">
        <f t="shared" si="13"/>
        <v>7</v>
      </c>
      <c r="N5" s="23">
        <f t="shared" si="13"/>
        <v>115</v>
      </c>
      <c r="O5" s="22">
        <f t="shared" si="13"/>
        <v>7</v>
      </c>
      <c r="P5" s="23">
        <f t="shared" si="13"/>
        <v>115</v>
      </c>
      <c r="Q5" s="22">
        <f t="shared" si="13"/>
        <v>7</v>
      </c>
      <c r="R5" s="23">
        <f t="shared" si="13"/>
        <v>115</v>
      </c>
      <c r="S5" s="22">
        <f t="shared" si="13"/>
        <v>7</v>
      </c>
      <c r="T5" s="23">
        <f t="shared" si="13"/>
        <v>115</v>
      </c>
      <c r="U5" s="22">
        <f t="shared" si="13"/>
        <v>7</v>
      </c>
      <c r="V5" s="23">
        <f t="shared" si="13"/>
        <v>115</v>
      </c>
      <c r="W5" s="8"/>
      <c r="X5" s="24">
        <f t="shared" ref="X5:Y5" si="14">SUM(X3:X4)</f>
        <v>370</v>
      </c>
      <c r="Y5" s="25">
        <f t="shared" si="14"/>
        <v>5650</v>
      </c>
      <c r="Z5" s="8"/>
    </row>
    <row r="6" ht="14.25" customHeight="1">
      <c r="B6" s="48"/>
      <c r="D6" s="32"/>
      <c r="F6" s="32"/>
      <c r="H6" s="32"/>
      <c r="J6" s="32"/>
      <c r="L6" s="32"/>
      <c r="N6" s="32"/>
      <c r="P6" s="32"/>
      <c r="R6" s="32"/>
      <c r="T6" s="32"/>
      <c r="V6" s="32"/>
      <c r="X6" s="33"/>
      <c r="Y6" s="33"/>
    </row>
    <row r="7" ht="14.25" customHeight="1">
      <c r="A7" s="1" t="s">
        <v>44</v>
      </c>
      <c r="B7" s="48"/>
      <c r="D7" s="58">
        <v>4.51</v>
      </c>
      <c r="F7" s="58">
        <v>4.51</v>
      </c>
      <c r="H7" s="58">
        <v>4.51</v>
      </c>
      <c r="J7" s="58">
        <v>4.51</v>
      </c>
      <c r="L7" s="58">
        <v>4.51</v>
      </c>
      <c r="N7" s="58">
        <v>4.51</v>
      </c>
      <c r="P7" s="58">
        <v>4.51</v>
      </c>
      <c r="R7" s="58">
        <v>4.51</v>
      </c>
      <c r="T7" s="58">
        <v>4.51</v>
      </c>
      <c r="V7" s="58">
        <v>4.51</v>
      </c>
      <c r="X7" s="18"/>
      <c r="Y7" s="18">
        <f>D7+F7+H7+J7+L7+N7</f>
        <v>27.06</v>
      </c>
    </row>
    <row r="8" ht="14.25" customHeight="1">
      <c r="A8" s="20" t="s">
        <v>45</v>
      </c>
      <c r="B8" s="36"/>
      <c r="C8" s="44"/>
      <c r="D8" s="37">
        <f>SUM(D7)</f>
        <v>4.51</v>
      </c>
      <c r="E8" s="44"/>
      <c r="F8" s="37">
        <f>SUM(F7)</f>
        <v>4.51</v>
      </c>
      <c r="G8" s="44"/>
      <c r="H8" s="37">
        <f>SUM(H7)</f>
        <v>4.51</v>
      </c>
      <c r="I8" s="44"/>
      <c r="J8" s="37">
        <f>SUM(J7)</f>
        <v>4.51</v>
      </c>
      <c r="K8" s="44"/>
      <c r="L8" s="37">
        <f>SUM(L7)</f>
        <v>4.51</v>
      </c>
      <c r="M8" s="44"/>
      <c r="N8" s="37">
        <f>SUM(N7)</f>
        <v>4.51</v>
      </c>
      <c r="O8" s="44"/>
      <c r="P8" s="37">
        <f>SUM(P7)</f>
        <v>4.51</v>
      </c>
      <c r="Q8" s="44"/>
      <c r="R8" s="37">
        <f>SUM(R7)</f>
        <v>4.51</v>
      </c>
      <c r="S8" s="44"/>
      <c r="T8" s="37">
        <f>SUM(T7)</f>
        <v>4.51</v>
      </c>
      <c r="U8" s="44"/>
      <c r="V8" s="37">
        <f>SUM(V7)</f>
        <v>4.51</v>
      </c>
      <c r="W8" s="1"/>
      <c r="X8" s="46"/>
      <c r="Y8" s="59">
        <f>SUM(Y7)</f>
        <v>27.06</v>
      </c>
      <c r="Z8" s="1"/>
    </row>
    <row r="9" ht="14.25" customHeight="1">
      <c r="A9" s="1"/>
      <c r="B9" s="4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33"/>
      <c r="Y9" s="33"/>
      <c r="Z9" s="1"/>
    </row>
    <row r="10" ht="14.25" customHeight="1">
      <c r="A10" s="41" t="s">
        <v>46</v>
      </c>
      <c r="B10" s="60">
        <v>0.15</v>
      </c>
      <c r="C10" s="41"/>
      <c r="D10" s="61">
        <f>(D8+D5)*$B10</f>
        <v>17.9265</v>
      </c>
      <c r="E10" s="41"/>
      <c r="F10" s="61">
        <f>(F8+F5)*$B10</f>
        <v>17.9265</v>
      </c>
      <c r="G10" s="41"/>
      <c r="H10" s="61">
        <f>(H8+H5)*$B10</f>
        <v>17.9265</v>
      </c>
      <c r="I10" s="41"/>
      <c r="J10" s="61">
        <f>(J8+J5)*$B10</f>
        <v>17.9265</v>
      </c>
      <c r="K10" s="41"/>
      <c r="L10" s="61">
        <f>(L8+L5)*$B10</f>
        <v>17.9265</v>
      </c>
      <c r="M10" s="41"/>
      <c r="N10" s="61">
        <f>(N8+N5)*$B10</f>
        <v>17.9265</v>
      </c>
      <c r="O10" s="41"/>
      <c r="P10" s="61">
        <f>(P8+P5)*$B10</f>
        <v>17.9265</v>
      </c>
      <c r="Q10" s="41"/>
      <c r="R10" s="61">
        <f>(R8+R5)*$B10</f>
        <v>17.9265</v>
      </c>
      <c r="S10" s="41"/>
      <c r="T10" s="61">
        <f>(T8+T5)*$B10</f>
        <v>17.9265</v>
      </c>
      <c r="U10" s="41"/>
      <c r="V10" s="61">
        <f>(V8+V5)*$B10</f>
        <v>17.9265</v>
      </c>
      <c r="W10" s="41"/>
      <c r="X10" s="62"/>
      <c r="Y10" s="62">
        <f>D10+F10+H10+J10+L10+N10</f>
        <v>107.559</v>
      </c>
      <c r="Z10" s="41"/>
    </row>
    <row r="11" ht="14.25" customHeight="1">
      <c r="A11" s="20" t="s">
        <v>47</v>
      </c>
      <c r="B11" s="36"/>
      <c r="C11" s="44"/>
      <c r="D11" s="45">
        <f>D10+D8+D5</f>
        <v>137.4365</v>
      </c>
      <c r="E11" s="44"/>
      <c r="F11" s="45">
        <f>F10+F8+F5</f>
        <v>137.4365</v>
      </c>
      <c r="G11" s="44"/>
      <c r="H11" s="45">
        <f>H10+H8+H5</f>
        <v>137.4365</v>
      </c>
      <c r="I11" s="44"/>
      <c r="J11" s="45">
        <f>J10+J8+J5</f>
        <v>137.4365</v>
      </c>
      <c r="K11" s="44"/>
      <c r="L11" s="45">
        <f>L10+L8+L5</f>
        <v>137.4365</v>
      </c>
      <c r="M11" s="44"/>
      <c r="N11" s="45">
        <f>N10+N8+N5</f>
        <v>137.4365</v>
      </c>
      <c r="O11" s="44"/>
      <c r="P11" s="45">
        <f>P10+P8+P5</f>
        <v>137.4365</v>
      </c>
      <c r="Q11" s="44"/>
      <c r="R11" s="45">
        <f>R10+R8+R5</f>
        <v>137.4365</v>
      </c>
      <c r="S11" s="44"/>
      <c r="T11" s="45">
        <f>T10+T8+T5</f>
        <v>137.4365</v>
      </c>
      <c r="U11" s="44"/>
      <c r="V11" s="45">
        <f>V10+V8+V5</f>
        <v>137.4365</v>
      </c>
      <c r="W11" s="1"/>
      <c r="X11" s="46"/>
      <c r="Y11" s="63">
        <f>Y10+Y8+Y5</f>
        <v>5784.619</v>
      </c>
      <c r="Z11" s="1"/>
    </row>
    <row r="12" ht="14.25" customHeight="1">
      <c r="A12" s="11" t="s">
        <v>19</v>
      </c>
      <c r="B12" s="48"/>
      <c r="C12" s="1"/>
      <c r="D12" s="64">
        <f>D11</f>
        <v>137.4365</v>
      </c>
      <c r="E12" s="1"/>
      <c r="F12" s="64">
        <f>F11+D12</f>
        <v>274.873</v>
      </c>
      <c r="G12" s="1"/>
      <c r="H12" s="64">
        <f>H11+F12</f>
        <v>412.3095</v>
      </c>
      <c r="I12" s="1"/>
      <c r="J12" s="64">
        <f>J11+H12</f>
        <v>549.746</v>
      </c>
      <c r="K12" s="1"/>
      <c r="L12" s="64">
        <f>L11+J12</f>
        <v>687.1825</v>
      </c>
      <c r="M12" s="1"/>
      <c r="N12" s="64">
        <f>N11+L12</f>
        <v>824.619</v>
      </c>
      <c r="O12" s="1"/>
      <c r="P12" s="64">
        <f>P11+N12</f>
        <v>962.0555</v>
      </c>
      <c r="Q12" s="1"/>
      <c r="R12" s="64">
        <f>R11+P12</f>
        <v>1099.492</v>
      </c>
      <c r="S12" s="1"/>
      <c r="T12" s="64">
        <f>T11+R12</f>
        <v>1236.9285</v>
      </c>
      <c r="U12" s="1"/>
      <c r="V12" s="64">
        <f>V11+T12</f>
        <v>1374.365</v>
      </c>
      <c r="W12" s="1"/>
      <c r="X12" s="33"/>
      <c r="Y12" s="33"/>
      <c r="Z12" s="1"/>
    </row>
    <row r="13" ht="14.25" customHeight="1">
      <c r="A13" s="11"/>
      <c r="B13" s="48"/>
      <c r="C13" s="1"/>
      <c r="D13" s="64"/>
      <c r="E13" s="1"/>
      <c r="F13" s="64"/>
      <c r="G13" s="1"/>
      <c r="H13" s="64"/>
      <c r="I13" s="1"/>
      <c r="J13" s="64"/>
      <c r="K13" s="1"/>
      <c r="L13" s="64"/>
      <c r="M13" s="1"/>
      <c r="N13" s="64"/>
      <c r="O13" s="1"/>
      <c r="P13" s="64"/>
      <c r="Q13" s="1"/>
      <c r="R13" s="64"/>
      <c r="S13" s="1"/>
      <c r="T13" s="64"/>
      <c r="U13" s="1"/>
      <c r="V13" s="64"/>
      <c r="W13" s="1"/>
      <c r="X13" s="33"/>
      <c r="Y13" s="33"/>
      <c r="Z13" s="1"/>
    </row>
    <row r="14" ht="14.25" customHeight="1">
      <c r="A14" s="1"/>
      <c r="B14" s="48"/>
      <c r="C14" s="1"/>
      <c r="D14" s="64"/>
      <c r="E14" s="1"/>
      <c r="F14" s="64"/>
      <c r="G14" s="1"/>
      <c r="H14" s="64"/>
      <c r="I14" s="1"/>
      <c r="J14" s="64"/>
      <c r="K14" s="1"/>
      <c r="L14" s="64"/>
      <c r="M14" s="1"/>
      <c r="N14" s="64"/>
      <c r="O14" s="1"/>
      <c r="P14" s="64"/>
      <c r="Q14" s="1"/>
      <c r="R14" s="64"/>
      <c r="S14" s="1"/>
      <c r="T14" s="64"/>
      <c r="U14" s="1"/>
      <c r="V14" s="64"/>
      <c r="W14" s="1"/>
      <c r="X14" s="33"/>
      <c r="Y14" s="33"/>
      <c r="Z14" s="1"/>
    </row>
    <row r="15" ht="14.25" customHeight="1">
      <c r="A15" s="41" t="s">
        <v>48</v>
      </c>
      <c r="B15" s="60">
        <v>0.1</v>
      </c>
      <c r="C15" s="41"/>
      <c r="D15" s="65">
        <f>D11*$B15</f>
        <v>13.74365</v>
      </c>
      <c r="E15" s="41"/>
      <c r="F15" s="65">
        <f>F11*$B15</f>
        <v>13.74365</v>
      </c>
      <c r="G15" s="41"/>
      <c r="H15" s="65">
        <f>H11*$B15</f>
        <v>13.74365</v>
      </c>
      <c r="I15" s="41"/>
      <c r="J15" s="65">
        <f>J11*$B15</f>
        <v>13.74365</v>
      </c>
      <c r="K15" s="41"/>
      <c r="L15" s="65">
        <f>L11*$B15</f>
        <v>13.74365</v>
      </c>
      <c r="M15" s="41"/>
      <c r="N15" s="65">
        <f>N11*$B15</f>
        <v>13.74365</v>
      </c>
      <c r="O15" s="41"/>
      <c r="P15" s="65">
        <f>P11*$B15</f>
        <v>13.74365</v>
      </c>
      <c r="Q15" s="41"/>
      <c r="R15" s="65">
        <f>R11*$B15</f>
        <v>13.74365</v>
      </c>
      <c r="S15" s="41"/>
      <c r="T15" s="65">
        <f>T11*$B15</f>
        <v>13.74365</v>
      </c>
      <c r="U15" s="41"/>
      <c r="V15" s="65">
        <f>V11*$B15</f>
        <v>13.74365</v>
      </c>
      <c r="W15" s="41"/>
      <c r="X15" s="62">
        <f t="shared" ref="X15:Y15" si="15">C15+E15+G15+I15+K15+M15</f>
        <v>0</v>
      </c>
      <c r="Y15" s="62">
        <f t="shared" si="15"/>
        <v>82.4619</v>
      </c>
      <c r="Z15" s="41"/>
    </row>
    <row r="16" ht="14.25" customHeight="1">
      <c r="A16" s="20" t="s">
        <v>49</v>
      </c>
      <c r="B16" s="36"/>
      <c r="C16" s="44"/>
      <c r="D16" s="66">
        <f>D15+D11</f>
        <v>151.18015</v>
      </c>
      <c r="E16" s="44"/>
      <c r="F16" s="66">
        <f>F15+F11</f>
        <v>151.18015</v>
      </c>
      <c r="G16" s="44"/>
      <c r="H16" s="66">
        <f>H15+H11</f>
        <v>151.18015</v>
      </c>
      <c r="I16" s="44"/>
      <c r="J16" s="66">
        <f>J15+J11</f>
        <v>151.18015</v>
      </c>
      <c r="K16" s="44"/>
      <c r="L16" s="66">
        <f>L15+L11</f>
        <v>151.18015</v>
      </c>
      <c r="M16" s="44"/>
      <c r="N16" s="66">
        <f>N15+N11</f>
        <v>151.18015</v>
      </c>
      <c r="O16" s="44"/>
      <c r="P16" s="66">
        <f>P15+P11</f>
        <v>151.18015</v>
      </c>
      <c r="Q16" s="44"/>
      <c r="R16" s="66">
        <f>R15+R11</f>
        <v>151.18015</v>
      </c>
      <c r="S16" s="44"/>
      <c r="T16" s="66">
        <f>T15+T11</f>
        <v>151.18015</v>
      </c>
      <c r="U16" s="44"/>
      <c r="V16" s="66">
        <f>V15+V11</f>
        <v>151.18015</v>
      </c>
      <c r="W16" s="1"/>
      <c r="X16" s="46"/>
      <c r="Y16" s="63">
        <f>Y15+Y11</f>
        <v>5867.0809</v>
      </c>
      <c r="Z16" s="1"/>
    </row>
    <row r="17" ht="14.25" customHeight="1">
      <c r="A17" s="11" t="s">
        <v>50</v>
      </c>
      <c r="B17" s="48"/>
      <c r="C17" s="1"/>
      <c r="D17" s="32">
        <f>D16</f>
        <v>151.18015</v>
      </c>
      <c r="E17" s="1"/>
      <c r="F17" s="32">
        <f>F16+D17</f>
        <v>302.3603</v>
      </c>
      <c r="G17" s="1"/>
      <c r="H17" s="32">
        <f>H16+F17</f>
        <v>453.54045</v>
      </c>
      <c r="I17" s="1"/>
      <c r="J17" s="32">
        <f>J16+H17</f>
        <v>604.7206</v>
      </c>
      <c r="K17" s="1"/>
      <c r="L17" s="32">
        <f>L16+J17</f>
        <v>755.90075</v>
      </c>
      <c r="M17" s="1"/>
      <c r="N17" s="32">
        <f>N16+L17</f>
        <v>907.0809</v>
      </c>
      <c r="O17" s="1"/>
      <c r="P17" s="32">
        <f>P16+N17</f>
        <v>1058.26105</v>
      </c>
      <c r="Q17" s="1"/>
      <c r="R17" s="32">
        <f>R16+P17</f>
        <v>1209.4412</v>
      </c>
      <c r="S17" s="1"/>
      <c r="T17" s="32">
        <f>T16+R17</f>
        <v>1360.62135</v>
      </c>
      <c r="U17" s="1"/>
      <c r="V17" s="32">
        <f>V16+T17</f>
        <v>1511.8015</v>
      </c>
      <c r="W17" s="1"/>
      <c r="X17" s="33"/>
      <c r="Y17" s="33"/>
      <c r="Z17" s="1"/>
    </row>
    <row r="18" ht="14.25" customHeight="1">
      <c r="A18" s="39"/>
      <c r="B18" s="40"/>
      <c r="C18" s="41"/>
      <c r="D18" s="42"/>
      <c r="E18" s="41"/>
      <c r="F18" s="42"/>
      <c r="G18" s="41"/>
      <c r="H18" s="42"/>
      <c r="I18" s="41"/>
      <c r="J18" s="42"/>
      <c r="K18" s="41"/>
      <c r="L18" s="42"/>
      <c r="M18" s="41"/>
      <c r="N18" s="42"/>
      <c r="O18" s="41"/>
      <c r="P18" s="42"/>
      <c r="Q18" s="41"/>
      <c r="R18" s="42"/>
      <c r="S18" s="41"/>
      <c r="T18" s="42"/>
      <c r="U18" s="41"/>
      <c r="V18" s="42"/>
      <c r="W18" s="41"/>
      <c r="X18" s="43"/>
      <c r="Y18" s="43"/>
      <c r="Z18" s="41"/>
    </row>
    <row r="19" ht="14.25" customHeight="1">
      <c r="A19" s="20" t="s">
        <v>23</v>
      </c>
      <c r="B19" s="36"/>
      <c r="C19" s="44"/>
      <c r="D19" s="45">
        <f>D16-D11</f>
        <v>13.74365</v>
      </c>
      <c r="E19" s="44"/>
      <c r="F19" s="45">
        <f>F16-F11</f>
        <v>13.74365</v>
      </c>
      <c r="G19" s="44"/>
      <c r="H19" s="45">
        <f>H16-H11</f>
        <v>13.74365</v>
      </c>
      <c r="I19" s="44"/>
      <c r="J19" s="45">
        <f>J16-J11</f>
        <v>13.74365</v>
      </c>
      <c r="K19" s="44"/>
      <c r="L19" s="45">
        <f>L16-L11</f>
        <v>13.74365</v>
      </c>
      <c r="M19" s="44"/>
      <c r="N19" s="45">
        <f>N16-N11</f>
        <v>13.74365</v>
      </c>
      <c r="O19" s="44"/>
      <c r="P19" s="45">
        <f>P16-P11</f>
        <v>13.74365</v>
      </c>
      <c r="Q19" s="44"/>
      <c r="R19" s="45">
        <f>R16-R11</f>
        <v>13.74365</v>
      </c>
      <c r="S19" s="44"/>
      <c r="T19" s="45">
        <f>T16-T11</f>
        <v>13.74365</v>
      </c>
      <c r="U19" s="44"/>
      <c r="V19" s="45">
        <f>V16-V11</f>
        <v>13.74365</v>
      </c>
      <c r="W19" s="1"/>
      <c r="X19" s="46"/>
      <c r="Y19" s="47">
        <f>Y16-Y11</f>
        <v>82.4619</v>
      </c>
      <c r="Z19" s="1"/>
    </row>
    <row r="20" ht="14.25" customHeight="1">
      <c r="A20" s="11" t="s">
        <v>24</v>
      </c>
      <c r="B20" s="48"/>
      <c r="D20" s="67">
        <f>D19</f>
        <v>13.74365</v>
      </c>
      <c r="F20" s="67">
        <f>D20+F19</f>
        <v>27.4873</v>
      </c>
      <c r="H20" s="67">
        <f>F20+H19</f>
        <v>41.23095</v>
      </c>
      <c r="J20" s="67">
        <f>H20+J19</f>
        <v>54.9746</v>
      </c>
      <c r="L20" s="67">
        <f>J20+L19</f>
        <v>68.71825</v>
      </c>
      <c r="N20" s="67">
        <f>L20+N19</f>
        <v>82.4619</v>
      </c>
      <c r="P20" s="67">
        <f>N20+P19</f>
        <v>96.20555</v>
      </c>
      <c r="R20" s="67">
        <f>P20+R19</f>
        <v>109.9492</v>
      </c>
      <c r="T20" s="67">
        <f>R20+T19</f>
        <v>123.69285</v>
      </c>
      <c r="V20" s="67">
        <f>T20+V19</f>
        <v>137.4365</v>
      </c>
    </row>
    <row r="21" ht="14.25" customHeight="1">
      <c r="A21" s="11"/>
      <c r="B21" s="48"/>
      <c r="D21" s="68"/>
      <c r="F21" s="68"/>
    </row>
    <row r="22" ht="18.0" customHeight="1">
      <c r="A22" s="1"/>
      <c r="B22" s="14"/>
    </row>
    <row r="23" ht="18.0" customHeight="1">
      <c r="A23" s="1"/>
      <c r="B23" s="14"/>
    </row>
    <row r="24" ht="18.0" customHeight="1">
      <c r="A24" s="1"/>
      <c r="B24" s="14"/>
    </row>
    <row r="25" ht="18.0" customHeight="1">
      <c r="A25" s="1"/>
      <c r="B25" s="14"/>
    </row>
    <row r="26" ht="18.0" customHeight="1">
      <c r="A26" s="1"/>
      <c r="B26" s="14"/>
    </row>
    <row r="27" ht="18.0" customHeight="1">
      <c r="A27" s="41"/>
      <c r="B27" s="53"/>
    </row>
    <row r="28" ht="18.0" customHeight="1">
      <c r="B28" s="48"/>
    </row>
    <row r="29" ht="18.0" customHeight="1">
      <c r="B29" s="48"/>
    </row>
    <row r="30" ht="18.0" customHeight="1">
      <c r="B30" s="48"/>
    </row>
    <row r="31" ht="18.0" customHeight="1">
      <c r="B31" s="48"/>
    </row>
    <row r="32" ht="18.0" customHeight="1">
      <c r="B32" s="48"/>
    </row>
    <row r="33" ht="18.0" customHeight="1">
      <c r="B33" s="48"/>
    </row>
    <row r="34" ht="18.0" customHeight="1">
      <c r="B34" s="48"/>
    </row>
    <row r="35" ht="18.0" customHeight="1">
      <c r="B35" s="48"/>
    </row>
    <row r="36" ht="18.0" customHeight="1">
      <c r="B36" s="48"/>
    </row>
    <row r="37" ht="18.0" customHeight="1">
      <c r="B37" s="48"/>
    </row>
    <row r="38" ht="18.0" customHeight="1">
      <c r="B38" s="48"/>
    </row>
    <row r="39" ht="18.0" customHeight="1">
      <c r="B39" s="48"/>
    </row>
    <row r="40" ht="18.0" customHeight="1">
      <c r="B40" s="48"/>
    </row>
    <row r="41" ht="14.25" customHeight="1">
      <c r="A41" s="54"/>
      <c r="B41" s="48"/>
    </row>
    <row r="42" ht="14.25" customHeight="1">
      <c r="A42" s="54"/>
      <c r="B42" s="48"/>
    </row>
    <row r="43" ht="14.25" customHeight="1">
      <c r="A43" s="54"/>
      <c r="B43" s="48"/>
    </row>
    <row r="44" ht="14.25" customHeight="1">
      <c r="A44" s="54"/>
      <c r="B44" s="48"/>
    </row>
    <row r="45" ht="14.25" customHeight="1">
      <c r="A45" s="54"/>
      <c r="B45" s="48"/>
    </row>
    <row r="46" ht="14.25" customHeight="1">
      <c r="A46" s="54"/>
      <c r="B46" s="48"/>
    </row>
    <row r="47" ht="14.25" customHeight="1">
      <c r="A47" s="54"/>
      <c r="B47" s="48"/>
    </row>
    <row r="48" ht="14.25" customHeight="1">
      <c r="A48" s="54"/>
      <c r="B48" s="48"/>
    </row>
    <row r="49" ht="14.25" customHeight="1">
      <c r="A49" s="54"/>
      <c r="B49" s="48"/>
    </row>
    <row r="50" ht="14.25" customHeight="1">
      <c r="A50" s="54"/>
      <c r="B50" s="48"/>
    </row>
    <row r="51" ht="14.25" customHeight="1">
      <c r="A51" s="54"/>
      <c r="B51" s="48"/>
    </row>
    <row r="52" ht="14.25" customHeight="1">
      <c r="A52" s="54"/>
      <c r="B52" s="48"/>
    </row>
    <row r="53" ht="14.25" customHeight="1">
      <c r="A53" s="54"/>
      <c r="B53" s="48"/>
    </row>
    <row r="54" ht="14.25" customHeight="1">
      <c r="A54" s="54"/>
      <c r="B54" s="48"/>
    </row>
    <row r="55" ht="14.25" customHeight="1">
      <c r="A55" s="54"/>
      <c r="B55" s="48"/>
    </row>
    <row r="56" ht="14.25" customHeight="1">
      <c r="A56" s="54"/>
      <c r="B56" s="48"/>
    </row>
    <row r="57" ht="14.25" customHeight="1">
      <c r="A57" s="54"/>
      <c r="B57" s="48"/>
    </row>
    <row r="58" ht="14.25" customHeight="1">
      <c r="A58" s="54"/>
      <c r="B58" s="48"/>
    </row>
    <row r="59" ht="14.25" customHeight="1">
      <c r="A59" s="54"/>
      <c r="B59" s="48"/>
    </row>
    <row r="60" ht="14.25" customHeight="1">
      <c r="B60" s="48"/>
    </row>
    <row r="61" ht="14.25" customHeight="1">
      <c r="B61" s="48"/>
    </row>
    <row r="62" ht="14.25" customHeight="1">
      <c r="B62" s="48"/>
    </row>
    <row r="63" ht="14.25" customHeight="1">
      <c r="B63" s="48"/>
    </row>
    <row r="64" ht="14.25" customHeight="1">
      <c r="B64" s="48"/>
    </row>
    <row r="65" ht="14.25" customHeight="1">
      <c r="B65" s="48"/>
    </row>
    <row r="66" ht="14.25" customHeight="1">
      <c r="B66" s="48"/>
    </row>
    <row r="67" ht="14.25" customHeight="1">
      <c r="B67" s="48"/>
    </row>
    <row r="68" ht="14.25" customHeight="1">
      <c r="B68" s="48"/>
    </row>
    <row r="69" ht="14.25" customHeight="1">
      <c r="B69" s="48"/>
    </row>
    <row r="70" ht="14.25" customHeight="1">
      <c r="B70" s="48"/>
    </row>
    <row r="71" ht="14.25" customHeight="1">
      <c r="B71" s="48"/>
    </row>
    <row r="72" ht="14.25" customHeight="1">
      <c r="B72" s="48"/>
    </row>
    <row r="73" ht="14.25" customHeight="1">
      <c r="B73" s="48"/>
    </row>
    <row r="74" ht="14.25" customHeight="1">
      <c r="B74" s="48"/>
    </row>
    <row r="75" ht="14.25" customHeight="1">
      <c r="B75" s="48"/>
    </row>
    <row r="76" ht="14.25" customHeight="1">
      <c r="B76" s="48"/>
    </row>
    <row r="77" ht="14.25" customHeight="1">
      <c r="B77" s="48"/>
    </row>
    <row r="78" ht="14.25" customHeight="1">
      <c r="B78" s="48"/>
    </row>
    <row r="79" ht="14.25" customHeight="1">
      <c r="B79" s="48"/>
    </row>
    <row r="80" ht="14.25" customHeight="1">
      <c r="B80" s="48"/>
    </row>
    <row r="81" ht="14.25" customHeight="1">
      <c r="B81" s="48"/>
    </row>
    <row r="82" ht="14.25" customHeight="1">
      <c r="B82" s="48"/>
      <c r="D82" s="55">
        <f>D79+C82</f>
        <v>0</v>
      </c>
    </row>
    <row r="83" ht="14.25" customHeight="1">
      <c r="B83" s="48"/>
    </row>
    <row r="84" ht="14.25" customHeight="1">
      <c r="B84" s="48"/>
    </row>
    <row r="85" ht="14.25" customHeight="1">
      <c r="B85" s="48"/>
      <c r="D85" s="55">
        <f>D82+C85</f>
        <v>0</v>
      </c>
    </row>
    <row r="86" ht="14.25" customHeight="1">
      <c r="B86" s="48"/>
    </row>
    <row r="87" ht="14.25" customHeight="1">
      <c r="B87" s="48"/>
    </row>
    <row r="88" ht="14.25" customHeight="1">
      <c r="B88" s="48"/>
      <c r="D88" s="55">
        <f>D85+C88</f>
        <v>0</v>
      </c>
    </row>
    <row r="89" ht="14.25" customHeight="1">
      <c r="B89" s="48"/>
    </row>
    <row r="90" ht="14.25" customHeight="1">
      <c r="B90" s="48"/>
    </row>
    <row r="91" ht="14.25" customHeight="1">
      <c r="B91" s="48"/>
    </row>
    <row r="92" ht="14.25" customHeight="1">
      <c r="B92" s="48"/>
    </row>
    <row r="93" ht="14.25" customHeight="1">
      <c r="B93" s="48"/>
    </row>
    <row r="94" ht="14.25" customHeight="1">
      <c r="B94" s="48"/>
    </row>
    <row r="95" ht="14.25" customHeight="1">
      <c r="B95" s="48"/>
    </row>
    <row r="96" ht="14.25" customHeight="1">
      <c r="B96" s="48"/>
    </row>
    <row r="97" ht="14.25" customHeight="1">
      <c r="B97" s="48"/>
    </row>
    <row r="98" ht="14.25" customHeight="1">
      <c r="B98" s="48"/>
    </row>
    <row r="99" ht="14.25" customHeight="1">
      <c r="B99" s="48"/>
    </row>
    <row r="100" ht="14.25" customHeight="1">
      <c r="B100" s="48"/>
    </row>
    <row r="101" ht="14.25" customHeight="1">
      <c r="B101" s="48"/>
    </row>
    <row r="102" ht="14.25" customHeight="1">
      <c r="B102" s="48"/>
    </row>
    <row r="103" ht="14.25" customHeight="1">
      <c r="B103" s="48"/>
    </row>
    <row r="104" ht="14.25" customHeight="1">
      <c r="B104" s="48"/>
    </row>
    <row r="105" ht="14.25" customHeight="1">
      <c r="B105" s="48"/>
    </row>
    <row r="106" ht="14.25" customHeight="1">
      <c r="B106" s="48"/>
    </row>
    <row r="107" ht="14.25" customHeight="1">
      <c r="B107" s="48"/>
    </row>
    <row r="108" ht="14.25" customHeight="1">
      <c r="B108" s="48"/>
    </row>
    <row r="109" ht="14.25" customHeight="1">
      <c r="B109" s="48"/>
    </row>
    <row r="110" ht="14.25" customHeight="1">
      <c r="B110" s="48"/>
    </row>
    <row r="111" ht="14.25" customHeight="1">
      <c r="B111" s="48"/>
    </row>
    <row r="112" ht="14.25" customHeight="1">
      <c r="B112" s="48"/>
    </row>
    <row r="113" ht="14.25" customHeight="1">
      <c r="B113" s="48"/>
    </row>
    <row r="114" ht="14.25" customHeight="1">
      <c r="B114" s="48"/>
    </row>
    <row r="115" ht="14.25" customHeight="1">
      <c r="B115" s="48"/>
    </row>
    <row r="116" ht="14.25" customHeight="1">
      <c r="B116" s="48"/>
    </row>
    <row r="117" ht="14.25" customHeight="1">
      <c r="B117" s="48"/>
    </row>
    <row r="118" ht="14.25" customHeight="1">
      <c r="B118" s="48"/>
    </row>
    <row r="119" ht="14.25" customHeight="1">
      <c r="B119" s="48"/>
    </row>
    <row r="120" ht="14.25" customHeight="1">
      <c r="B120" s="48"/>
    </row>
    <row r="121" ht="14.25" customHeight="1">
      <c r="B121" s="48"/>
    </row>
    <row r="122" ht="14.25" customHeight="1">
      <c r="B122" s="48"/>
    </row>
    <row r="123" ht="14.25" customHeight="1">
      <c r="B123" s="48"/>
    </row>
    <row r="124" ht="14.25" customHeight="1">
      <c r="B124" s="48"/>
    </row>
    <row r="125" ht="14.25" customHeight="1">
      <c r="B125" s="48"/>
    </row>
    <row r="126" ht="14.25" customHeight="1">
      <c r="B126" s="48"/>
    </row>
    <row r="127" ht="14.25" customHeight="1">
      <c r="B127" s="48"/>
    </row>
    <row r="128" ht="14.25" customHeight="1">
      <c r="B128" s="48"/>
    </row>
    <row r="129" ht="14.25" customHeight="1">
      <c r="B129" s="48"/>
    </row>
    <row r="130" ht="14.25" customHeight="1">
      <c r="B130" s="48"/>
    </row>
    <row r="131" ht="14.25" customHeight="1">
      <c r="B131" s="48"/>
    </row>
    <row r="132" ht="14.25" customHeight="1">
      <c r="B132" s="48"/>
    </row>
    <row r="133" ht="14.25" customHeight="1">
      <c r="B133" s="48"/>
    </row>
    <row r="134" ht="14.25" customHeight="1">
      <c r="B134" s="48"/>
    </row>
    <row r="135" ht="14.25" customHeight="1">
      <c r="B135" s="48"/>
    </row>
    <row r="136" ht="14.25" customHeight="1">
      <c r="B136" s="48"/>
    </row>
    <row r="137" ht="14.25" customHeight="1">
      <c r="B137" s="48"/>
    </row>
    <row r="138" ht="14.25" customHeight="1">
      <c r="B138" s="48"/>
    </row>
    <row r="139" ht="14.25" customHeight="1">
      <c r="B139" s="48"/>
    </row>
    <row r="140" ht="14.25" customHeight="1">
      <c r="B140" s="48"/>
    </row>
    <row r="141" ht="14.25" customHeight="1">
      <c r="B141" s="48"/>
    </row>
    <row r="142" ht="14.25" customHeight="1">
      <c r="B142" s="48"/>
    </row>
    <row r="143" ht="14.25" customHeight="1">
      <c r="B143" s="48"/>
    </row>
    <row r="144" ht="14.25" customHeight="1">
      <c r="B144" s="48"/>
    </row>
    <row r="145" ht="14.25" customHeight="1">
      <c r="B145" s="48"/>
    </row>
    <row r="146" ht="14.25" customHeight="1">
      <c r="B146" s="48"/>
    </row>
    <row r="147" ht="14.25" customHeight="1">
      <c r="B147" s="48"/>
    </row>
    <row r="148" ht="14.25" customHeight="1">
      <c r="B148" s="48"/>
    </row>
    <row r="149" ht="14.25" customHeight="1">
      <c r="B149" s="48"/>
    </row>
    <row r="150" ht="14.25" customHeight="1">
      <c r="B150" s="48"/>
    </row>
    <row r="151" ht="14.25" customHeight="1">
      <c r="B151" s="48"/>
    </row>
    <row r="152" ht="14.25" customHeight="1">
      <c r="B152" s="48"/>
    </row>
    <row r="153" ht="14.25" customHeight="1">
      <c r="B153" s="48"/>
    </row>
    <row r="154" ht="14.25" customHeight="1">
      <c r="B154" s="48"/>
    </row>
    <row r="155" ht="14.25" customHeight="1">
      <c r="B155" s="48"/>
    </row>
    <row r="156" ht="14.25" customHeight="1">
      <c r="B156" s="48"/>
    </row>
    <row r="157" ht="14.25" customHeight="1">
      <c r="B157" s="48"/>
    </row>
    <row r="158" ht="14.25" customHeight="1">
      <c r="B158" s="48"/>
    </row>
    <row r="159" ht="14.25" customHeight="1">
      <c r="B159" s="48"/>
    </row>
    <row r="160" ht="14.25" customHeight="1">
      <c r="B160" s="48"/>
    </row>
    <row r="161" ht="14.25" customHeight="1">
      <c r="B161" s="48"/>
    </row>
    <row r="162" ht="14.25" customHeight="1">
      <c r="B162" s="48"/>
    </row>
    <row r="163" ht="14.25" customHeight="1">
      <c r="B163" s="48"/>
    </row>
    <row r="164" ht="14.25" customHeight="1">
      <c r="B164" s="48"/>
    </row>
    <row r="165" ht="14.25" customHeight="1">
      <c r="B165" s="48"/>
    </row>
    <row r="166" ht="14.25" customHeight="1">
      <c r="B166" s="48"/>
    </row>
    <row r="167" ht="14.25" customHeight="1">
      <c r="B167" s="48"/>
    </row>
    <row r="168" ht="14.25" customHeight="1">
      <c r="B168" s="48"/>
    </row>
    <row r="169" ht="14.25" customHeight="1">
      <c r="B169" s="48"/>
    </row>
    <row r="170" ht="14.25" customHeight="1">
      <c r="B170" s="48"/>
    </row>
    <row r="171" ht="14.25" customHeight="1">
      <c r="B171" s="48"/>
    </row>
    <row r="172" ht="14.25" customHeight="1">
      <c r="B172" s="48"/>
    </row>
    <row r="173" ht="14.25" customHeight="1">
      <c r="B173" s="48"/>
    </row>
    <row r="174" ht="14.25" customHeight="1">
      <c r="B174" s="48"/>
    </row>
    <row r="175" ht="14.25" customHeight="1">
      <c r="B175" s="48"/>
    </row>
    <row r="176" ht="14.25" customHeight="1">
      <c r="B176" s="48"/>
    </row>
    <row r="177" ht="14.25" customHeight="1">
      <c r="B177" s="48"/>
    </row>
    <row r="178" ht="14.25" customHeight="1">
      <c r="B178" s="48"/>
    </row>
    <row r="179" ht="14.25" customHeight="1">
      <c r="B179" s="48"/>
    </row>
    <row r="180" ht="14.25" customHeight="1">
      <c r="B180" s="48"/>
    </row>
    <row r="181" ht="14.25" customHeight="1">
      <c r="B181" s="48"/>
    </row>
    <row r="182" ht="14.25" customHeight="1">
      <c r="B182" s="48"/>
    </row>
    <row r="183" ht="14.25" customHeight="1">
      <c r="B183" s="48"/>
    </row>
    <row r="184" ht="14.25" customHeight="1">
      <c r="B184" s="48"/>
    </row>
    <row r="185" ht="14.25" customHeight="1">
      <c r="B185" s="48"/>
    </row>
    <row r="186" ht="14.25" customHeight="1">
      <c r="B186" s="48"/>
    </row>
    <row r="187" ht="14.25" customHeight="1">
      <c r="B187" s="48"/>
    </row>
    <row r="188" ht="14.25" customHeight="1">
      <c r="B188" s="48"/>
    </row>
    <row r="189" ht="14.25" customHeight="1">
      <c r="B189" s="48"/>
    </row>
    <row r="190" ht="14.25" customHeight="1">
      <c r="B190" s="48"/>
    </row>
    <row r="191" ht="14.25" customHeight="1">
      <c r="B191" s="48"/>
    </row>
    <row r="192" ht="14.25" customHeight="1">
      <c r="B192" s="48"/>
    </row>
    <row r="193" ht="14.25" customHeight="1">
      <c r="B193" s="48"/>
    </row>
    <row r="194" ht="14.25" customHeight="1">
      <c r="B194" s="48"/>
    </row>
    <row r="195" ht="14.25" customHeight="1">
      <c r="B195" s="48"/>
    </row>
    <row r="196" ht="14.25" customHeight="1">
      <c r="B196" s="48"/>
    </row>
    <row r="197" ht="14.25" customHeight="1">
      <c r="B197" s="48"/>
    </row>
    <row r="198" ht="14.25" customHeight="1">
      <c r="B198" s="48"/>
    </row>
    <row r="199" ht="14.25" customHeight="1">
      <c r="B199" s="48"/>
    </row>
    <row r="200" ht="14.25" customHeight="1">
      <c r="B200" s="48"/>
    </row>
    <row r="201" ht="14.25" customHeight="1">
      <c r="B201" s="48"/>
    </row>
    <row r="202" ht="14.25" customHeight="1">
      <c r="B202" s="48"/>
    </row>
    <row r="203" ht="14.25" customHeight="1">
      <c r="B203" s="48"/>
    </row>
    <row r="204" ht="14.25" customHeight="1">
      <c r="B204" s="48"/>
    </row>
    <row r="205" ht="14.25" customHeight="1">
      <c r="B205" s="48"/>
    </row>
    <row r="206" ht="14.25" customHeight="1">
      <c r="B206" s="48"/>
    </row>
    <row r="207" ht="14.25" customHeight="1">
      <c r="B207" s="48"/>
    </row>
    <row r="208" ht="14.25" customHeight="1">
      <c r="B208" s="48"/>
    </row>
    <row r="209" ht="14.25" customHeight="1">
      <c r="B209" s="48"/>
    </row>
    <row r="210" ht="14.25" customHeight="1">
      <c r="B210" s="48"/>
    </row>
    <row r="211" ht="14.25" customHeight="1">
      <c r="B211" s="48"/>
    </row>
    <row r="212" ht="14.25" customHeight="1">
      <c r="B212" s="48"/>
    </row>
    <row r="213" ht="14.25" customHeight="1">
      <c r="B213" s="48"/>
    </row>
    <row r="214" ht="14.25" customHeight="1">
      <c r="B214" s="48"/>
    </row>
    <row r="215" ht="14.25" customHeight="1">
      <c r="B215" s="48"/>
    </row>
    <row r="216" ht="14.25" customHeight="1">
      <c r="B216" s="48"/>
    </row>
    <row r="217" ht="14.25" customHeight="1">
      <c r="B217" s="48"/>
    </row>
    <row r="218" ht="14.25" customHeight="1">
      <c r="B218" s="48"/>
    </row>
    <row r="219" ht="14.25" customHeight="1">
      <c r="B219" s="48"/>
    </row>
    <row r="220" ht="14.25" customHeight="1">
      <c r="B220" s="48"/>
    </row>
    <row r="221" ht="14.25" customHeight="1">
      <c r="B221" s="48"/>
    </row>
    <row r="222" ht="14.25" customHeight="1">
      <c r="B222" s="48"/>
    </row>
    <row r="223" ht="14.25" customHeight="1">
      <c r="B223" s="48"/>
    </row>
    <row r="224" ht="14.25" customHeight="1">
      <c r="B224" s="48"/>
    </row>
    <row r="225" ht="14.25" customHeight="1">
      <c r="B225" s="48"/>
    </row>
    <row r="226" ht="14.25" customHeight="1">
      <c r="B226" s="48"/>
    </row>
    <row r="227" ht="14.25" customHeight="1">
      <c r="B227" s="48"/>
    </row>
    <row r="228" ht="14.25" customHeight="1">
      <c r="B228" s="48"/>
    </row>
    <row r="229" ht="14.25" customHeight="1">
      <c r="B229" s="48"/>
    </row>
    <row r="230" ht="14.25" customHeight="1">
      <c r="B230" s="48"/>
    </row>
    <row r="231" ht="14.25" customHeight="1">
      <c r="B231" s="48"/>
    </row>
    <row r="232" ht="14.25" customHeight="1">
      <c r="B232" s="48"/>
    </row>
    <row r="233" ht="14.25" customHeight="1">
      <c r="B233" s="48"/>
    </row>
    <row r="234" ht="14.25" customHeight="1">
      <c r="B234" s="48"/>
    </row>
    <row r="235" ht="14.25" customHeight="1">
      <c r="B235" s="48"/>
    </row>
    <row r="236" ht="14.25" customHeight="1">
      <c r="B236" s="48"/>
    </row>
    <row r="237" ht="14.25" customHeight="1">
      <c r="B237" s="48"/>
    </row>
    <row r="238" ht="14.25" customHeight="1">
      <c r="B238" s="48"/>
    </row>
    <row r="239" ht="14.25" customHeight="1">
      <c r="B239" s="48"/>
    </row>
    <row r="240" ht="14.25" customHeight="1">
      <c r="B240" s="48"/>
    </row>
    <row r="241" ht="14.25" customHeight="1">
      <c r="B241" s="48"/>
    </row>
    <row r="242" ht="14.25" customHeight="1">
      <c r="B242" s="48"/>
    </row>
    <row r="243" ht="14.25" customHeight="1">
      <c r="B243" s="48"/>
    </row>
    <row r="244" ht="14.25" customHeight="1">
      <c r="B244" s="48"/>
    </row>
    <row r="245" ht="14.25" customHeight="1">
      <c r="B245" s="48"/>
    </row>
    <row r="246" ht="14.25" customHeight="1">
      <c r="B246" s="48"/>
    </row>
    <row r="247" ht="14.25" customHeight="1">
      <c r="B247" s="48"/>
    </row>
    <row r="248" ht="14.25" customHeight="1">
      <c r="B248" s="48"/>
    </row>
    <row r="249" ht="14.25" customHeight="1">
      <c r="B249" s="48"/>
    </row>
    <row r="250" ht="14.25" customHeight="1">
      <c r="B250" s="48"/>
    </row>
    <row r="251" ht="14.25" customHeight="1">
      <c r="B251" s="48"/>
    </row>
    <row r="252" ht="14.25" customHeight="1">
      <c r="B252" s="48"/>
    </row>
    <row r="253" ht="14.25" customHeight="1">
      <c r="B253" s="48"/>
    </row>
    <row r="254" ht="14.25" customHeight="1">
      <c r="B254" s="48"/>
    </row>
    <row r="255" ht="14.25" customHeight="1">
      <c r="B255" s="48"/>
    </row>
    <row r="256" ht="14.25" customHeight="1">
      <c r="B256" s="48"/>
    </row>
    <row r="257" ht="14.25" customHeight="1">
      <c r="B257" s="48"/>
    </row>
    <row r="258" ht="14.25" customHeight="1">
      <c r="B258" s="48"/>
    </row>
    <row r="259" ht="14.25" customHeight="1">
      <c r="B259" s="48"/>
    </row>
    <row r="260" ht="14.25" customHeight="1">
      <c r="B260" s="48"/>
    </row>
    <row r="261" ht="14.25" customHeight="1">
      <c r="B261" s="48"/>
    </row>
    <row r="262" ht="14.25" customHeight="1">
      <c r="B262" s="48"/>
    </row>
    <row r="263" ht="14.25" customHeight="1">
      <c r="B263" s="48"/>
    </row>
    <row r="264" ht="14.25" customHeight="1">
      <c r="B264" s="48"/>
    </row>
    <row r="265" ht="14.25" customHeight="1">
      <c r="B265" s="48"/>
    </row>
    <row r="266" ht="14.25" customHeight="1">
      <c r="B266" s="48"/>
    </row>
    <row r="267" ht="14.25" customHeight="1">
      <c r="B267" s="48"/>
    </row>
    <row r="268" ht="14.25" customHeight="1">
      <c r="B268" s="48"/>
    </row>
    <row r="269" ht="14.25" customHeight="1">
      <c r="B269" s="48"/>
    </row>
    <row r="270" ht="14.25" customHeight="1">
      <c r="B270" s="48"/>
    </row>
    <row r="271" ht="14.25" customHeight="1">
      <c r="B271" s="48"/>
    </row>
    <row r="272" ht="14.25" customHeight="1">
      <c r="B272" s="48"/>
    </row>
    <row r="273" ht="14.25" customHeight="1">
      <c r="B273" s="48"/>
    </row>
    <row r="274" ht="14.25" customHeight="1">
      <c r="B274" s="48"/>
    </row>
    <row r="275" ht="14.25" customHeight="1">
      <c r="B275" s="48"/>
    </row>
    <row r="276" ht="14.25" customHeight="1">
      <c r="B276" s="48"/>
    </row>
    <row r="277" ht="14.25" customHeight="1">
      <c r="B277" s="48"/>
    </row>
    <row r="278" ht="14.25" customHeight="1">
      <c r="B278" s="48"/>
    </row>
    <row r="279" ht="14.25" customHeight="1">
      <c r="B279" s="48"/>
    </row>
    <row r="280" ht="14.25" customHeight="1">
      <c r="B280" s="48"/>
    </row>
    <row r="281" ht="14.25" customHeight="1">
      <c r="B281" s="48"/>
    </row>
    <row r="282" ht="14.25" customHeight="1">
      <c r="B282" s="48"/>
    </row>
    <row r="283" ht="14.25" customHeight="1">
      <c r="B283" s="48"/>
    </row>
    <row r="284" ht="14.25" customHeight="1">
      <c r="B284" s="48"/>
    </row>
    <row r="285" ht="14.25" customHeight="1">
      <c r="B285" s="48"/>
    </row>
    <row r="286" ht="14.25" customHeight="1">
      <c r="B286" s="48"/>
    </row>
    <row r="287" ht="14.25" customHeight="1">
      <c r="B287" s="48"/>
    </row>
    <row r="288" ht="14.25" customHeight="1">
      <c r="B288" s="48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Q1:R1"/>
    <mergeCell ref="S1:T1"/>
    <mergeCell ref="U1:V1"/>
    <mergeCell ref="X1:Y1"/>
    <mergeCell ref="C1:D1"/>
    <mergeCell ref="E1:F1"/>
    <mergeCell ref="G1:H1"/>
    <mergeCell ref="I1:J1"/>
    <mergeCell ref="K1:L1"/>
    <mergeCell ref="M1:N1"/>
    <mergeCell ref="O1:P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2022-11-18T22:52:46Z</dcterms:created>
  <dc:creator>Naon, Marcelo Carlos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9256c7-9946-44df-b379-51beb93fd2d9_Enabled">
    <vt:lpwstr>true</vt:lpwstr>
  </property>
  <property fmtid="{D5CDD505-2E9C-101B-9397-08002B2CF9AE}" pid="3" name="MSIP_Label_589256c7-9946-44df-b379-51beb93fd2d9_SetDate">
    <vt:lpwstr>2022-11-18T22:20:55Z</vt:lpwstr>
  </property>
  <property fmtid="{D5CDD505-2E9C-101B-9397-08002B2CF9AE}" pid="4" name="MSIP_Label_589256c7-9946-44df-b379-51beb93fd2d9_Method">
    <vt:lpwstr>Privileged</vt:lpwstr>
  </property>
  <property fmtid="{D5CDD505-2E9C-101B-9397-08002B2CF9AE}" pid="5" name="MSIP_Label_589256c7-9946-44df-b379-51beb93fd2d9_Name">
    <vt:lpwstr>589256c7-9946-44df-b379-51beb93fd2d9</vt:lpwstr>
  </property>
  <property fmtid="{D5CDD505-2E9C-101B-9397-08002B2CF9AE}" pid="6" name="MSIP_Label_589256c7-9946-44df-b379-51beb93fd2d9_SiteId">
    <vt:lpwstr>36da45f1-dd2c-4d1f-af13-5abe46b99921</vt:lpwstr>
  </property>
  <property fmtid="{D5CDD505-2E9C-101B-9397-08002B2CF9AE}" pid="7" name="MSIP_Label_589256c7-9946-44df-b379-51beb93fd2d9_ActionId">
    <vt:lpwstr>2c64d89e-49c5-46a3-81cd-7c51582f9390</vt:lpwstr>
  </property>
  <property fmtid="{D5CDD505-2E9C-101B-9397-08002B2CF9AE}" pid="8" name="MSIP_Label_589256c7-9946-44df-b379-51beb93fd2d9_ContentBits">
    <vt:lpwstr>0</vt:lpwstr>
  </property>
</Properties>
</file>