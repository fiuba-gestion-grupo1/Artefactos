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para Alumnos Fixed Pri" sheetId="1" r:id="rId4"/>
  </sheets>
  <definedNames/>
  <calcPr/>
  <extLst>
    <ext uri="GoogleSheetsCustomDataVersion2">
      <go:sheetsCustomData xmlns:go="http://customooxmlschemas.google.com/" r:id="rId5" roundtripDataChecksum="N7OB5sORVgbUpVHlz15l+9t7/w9r+l8XFaee7WWPsQQ="/>
    </ext>
  </extLst>
</workbook>
</file>

<file path=xl/sharedStrings.xml><?xml version="1.0" encoding="utf-8"?>
<sst xmlns="http://schemas.openxmlformats.org/spreadsheetml/2006/main" count="64" uniqueCount="37">
  <si>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</si>
  <si>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</si>
  <si>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</si>
  <si>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</si>
  <si>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</si>
  <si>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</si>
  <si>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</si>
  <si>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</si>
  <si>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</si>
  <si>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</si>
  <si>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</si>
  <si>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</si>
  <si>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</si>
  <si>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Total</t>
  </si>
  <si>
    <t>Perfiles</t>
  </si>
  <si>
    <t>Rate costo/hs</t>
  </si>
  <si>
    <t xml:space="preserve">Horas </t>
  </si>
  <si>
    <t>Monto</t>
  </si>
  <si>
    <t>Project Manager</t>
  </si>
  <si>
    <t>Cost / Financial Analyst</t>
  </si>
  <si>
    <t>Risk Management Specialist</t>
  </si>
  <si>
    <t>Functional Analyst</t>
  </si>
  <si>
    <t>Frontend Developer Jr</t>
  </si>
  <si>
    <t>Frontend Developer Sr Developer</t>
  </si>
  <si>
    <t>Fullstack Developer Sr</t>
  </si>
  <si>
    <t>Backend Developer Jr</t>
  </si>
  <si>
    <t>Backend Developer Sr</t>
  </si>
  <si>
    <t>Subtotal Equipo de trabajo</t>
  </si>
  <si>
    <t>Subtotal Infraestructura</t>
  </si>
  <si>
    <t>Contingencia</t>
  </si>
  <si>
    <t>Costos Total x mes</t>
  </si>
  <si>
    <t>Costos Totales Acumulados</t>
  </si>
  <si>
    <t>Markup</t>
  </si>
  <si>
    <t>Revenue x mes</t>
  </si>
  <si>
    <t>Revenue Acumulado</t>
  </si>
  <si>
    <t>Profit / Loss -</t>
  </si>
  <si>
    <t>Profit / Loss - Acumulado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</si>
</sst>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_-;\-* #,##0.00_-;_-* &quot;-&quot;??_-;_-@"/>
    <numFmt numFmtId="165" formatCode="_-* #,##0_-;\-* #,##0_-;_-* &quot;-&quot;??_-;_-@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000000"/>
      <name val="Calibri"/>
    </font>
    <font/>
    <font>
      <b/>
      <sz val="11.0"/>
      <color theme="1"/>
      <name val="Calibri"/>
    </font>
    <font>
      <color theme="1"/>
      <name val="Calibri"/>
      <scheme val="minor"/>
    </font>
    <font>
      <b/>
      <sz val="11.0"/>
      <color rgb="FF44546A"/>
      <name val="Calibri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  <fill>
      <patternFill patternType="solid">
        <fgColor rgb="FFFEF2CB"/>
        <bgColor rgb="FFFEF2CB"/>
      </patternFill>
    </fill>
    <fill>
      <patternFill patternType="solid">
        <fgColor rgb="FFD9EAD3"/>
        <bgColor rgb="FFD9EAD3"/>
      </patternFill>
    </fill>
    <fill>
      <patternFill patternType="solid">
        <fgColor rgb="FFD8D8D8"/>
        <bgColor rgb="FFD8D8D8"/>
      </patternFill>
    </fill>
    <fill>
      <patternFill patternType="solid">
        <fgColor rgb="FFC8C8C8"/>
        <bgColor rgb="FFC8C8C8"/>
      </patternFill>
    </fill>
  </fills>
  <borders count="11">
    <border/>
    <border>
      <left/>
      <top/>
      <bottom/>
    </border>
    <border>
      <top/>
      <bottom/>
    </border>
    <border>
      <right style="thin">
        <color rgb="FF000000"/>
      </right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/>
    </border>
    <border>
      <right style="thin">
        <color rgb="FF000000"/>
      </right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17" xfId="0" applyBorder="1" applyFill="1" applyFont="1" applyNumberFormat="1"/>
    <xf borderId="1" fillId="2" fontId="2" numFmtId="0" xfId="0" applyAlignment="1" applyBorder="1" applyFont="1">
      <alignment horizontal="center" readingOrder="0"/>
    </xf>
    <xf borderId="2" fillId="0" fontId="3" numFmtId="0" xfId="0" applyBorder="1" applyFont="1"/>
    <xf borderId="1" fillId="3" fontId="2" numFmtId="0" xfId="0" applyAlignment="1" applyBorder="1" applyFill="1" applyFont="1">
      <alignment horizontal="center" readingOrder="0"/>
    </xf>
    <xf borderId="1" fillId="4" fontId="4" numFmtId="0" xfId="0" applyAlignment="1" applyBorder="1" applyFill="1" applyFont="1">
      <alignment horizontal="center"/>
    </xf>
    <xf borderId="0" fillId="0" fontId="4" numFmtId="0" xfId="0" applyFont="1"/>
    <xf borderId="3" fillId="0" fontId="2" numFmtId="0" xfId="0" applyBorder="1" applyFont="1"/>
    <xf borderId="0" fillId="0" fontId="2" numFmtId="17" xfId="0" applyFont="1" applyNumberFormat="1"/>
    <xf borderId="0" fillId="0" fontId="2" numFmtId="0" xfId="0" applyFont="1"/>
    <xf borderId="4" fillId="5" fontId="2" numFmtId="17" xfId="0" applyBorder="1" applyFill="1" applyFont="1" applyNumberFormat="1"/>
    <xf borderId="4" fillId="5" fontId="2" numFmtId="0" xfId="0" applyBorder="1" applyFont="1"/>
    <xf borderId="0" fillId="0" fontId="1" numFmtId="0" xfId="0" applyAlignment="1" applyFont="1">
      <alignment vertical="bottom"/>
    </xf>
    <xf borderId="5" fillId="3" fontId="1" numFmtId="164" xfId="0" applyAlignment="1" applyBorder="1" applyFont="1" applyNumberFormat="1">
      <alignment readingOrder="0"/>
    </xf>
    <xf borderId="4" fillId="6" fontId="1" numFmtId="165" xfId="0" applyAlignment="1" applyBorder="1" applyFill="1" applyFont="1" applyNumberFormat="1">
      <alignment readingOrder="0"/>
    </xf>
    <xf borderId="4" fillId="7" fontId="1" numFmtId="164" xfId="0" applyBorder="1" applyFill="1" applyFont="1" applyNumberFormat="1"/>
    <xf borderId="4" fillId="3" fontId="1" numFmtId="165" xfId="0" applyAlignment="1" applyBorder="1" applyFont="1" applyNumberFormat="1">
      <alignment readingOrder="0"/>
    </xf>
    <xf borderId="4" fillId="5" fontId="1" numFmtId="165" xfId="0" applyBorder="1" applyFont="1" applyNumberFormat="1"/>
    <xf borderId="0" fillId="0" fontId="5" numFmtId="0" xfId="0" applyAlignment="1" applyFont="1">
      <alignment readingOrder="0"/>
    </xf>
    <xf borderId="0" fillId="0" fontId="1" numFmtId="0" xfId="0" applyAlignment="1" applyFont="1">
      <alignment vertical="bottom"/>
    </xf>
    <xf borderId="6" fillId="0" fontId="1" numFmtId="0" xfId="0" applyAlignment="1" applyBorder="1" applyFont="1">
      <alignment vertical="bottom"/>
    </xf>
    <xf borderId="7" fillId="6" fontId="1" numFmtId="165" xfId="0" applyAlignment="1" applyBorder="1" applyFont="1" applyNumberFormat="1">
      <alignment readingOrder="0"/>
    </xf>
    <xf borderId="7" fillId="3" fontId="1" numFmtId="165" xfId="0" applyAlignment="1" applyBorder="1" applyFont="1" applyNumberFormat="1">
      <alignment readingOrder="0"/>
    </xf>
    <xf borderId="4" fillId="2" fontId="2" numFmtId="0" xfId="0" applyBorder="1" applyFont="1"/>
    <xf borderId="8" fillId="2" fontId="4" numFmtId="0" xfId="0" applyBorder="1" applyFont="1"/>
    <xf borderId="4" fillId="2" fontId="4" numFmtId="165" xfId="0" applyBorder="1" applyFont="1" applyNumberFormat="1"/>
    <xf borderId="4" fillId="2" fontId="4" numFmtId="164" xfId="0" applyBorder="1" applyFont="1" applyNumberFormat="1"/>
    <xf borderId="4" fillId="4" fontId="4" numFmtId="165" xfId="0" applyBorder="1" applyFont="1" applyNumberFormat="1"/>
    <xf borderId="4" fillId="4" fontId="4" numFmtId="164" xfId="0" applyBorder="1" applyFont="1" applyNumberFormat="1"/>
    <xf borderId="3" fillId="0" fontId="1" numFmtId="0" xfId="0" applyBorder="1" applyFont="1"/>
    <xf borderId="0" fillId="0" fontId="1" numFmtId="164" xfId="0" applyFont="1" applyNumberFormat="1"/>
    <xf borderId="4" fillId="5" fontId="1" numFmtId="0" xfId="0" applyBorder="1" applyFont="1"/>
    <xf borderId="4" fillId="3" fontId="1" numFmtId="164" xfId="0" applyAlignment="1" applyBorder="1" applyFont="1" applyNumberFormat="1">
      <alignment readingOrder="0"/>
    </xf>
    <xf borderId="4" fillId="3" fontId="1" numFmtId="164" xfId="0" applyBorder="1" applyFont="1" applyNumberFormat="1"/>
    <xf borderId="6" fillId="0" fontId="1" numFmtId="0" xfId="0" applyBorder="1" applyFont="1"/>
    <xf borderId="9" fillId="0" fontId="1" numFmtId="0" xfId="0" applyBorder="1" applyFont="1"/>
    <xf borderId="7" fillId="3" fontId="1" numFmtId="164" xfId="0" applyAlignment="1" applyBorder="1" applyFont="1" applyNumberFormat="1">
      <alignment readingOrder="0"/>
    </xf>
    <xf borderId="7" fillId="3" fontId="1" numFmtId="164" xfId="0" applyBorder="1" applyFont="1" applyNumberFormat="1"/>
    <xf borderId="6" fillId="0" fontId="5" numFmtId="0" xfId="0" applyBorder="1" applyFont="1"/>
    <xf borderId="7" fillId="5" fontId="1" numFmtId="165" xfId="0" applyBorder="1" applyFont="1" applyNumberFormat="1"/>
    <xf borderId="8" fillId="2" fontId="1" numFmtId="0" xfId="0" applyBorder="1" applyFont="1"/>
    <xf borderId="4" fillId="2" fontId="1" numFmtId="0" xfId="0" applyBorder="1" applyFont="1"/>
    <xf borderId="4" fillId="2" fontId="6" numFmtId="164" xfId="0" applyBorder="1" applyFont="1" applyNumberFormat="1"/>
    <xf borderId="4" fillId="4" fontId="1" numFmtId="0" xfId="0" applyBorder="1" applyFont="1"/>
    <xf borderId="4" fillId="4" fontId="6" numFmtId="164" xfId="0" applyBorder="1" applyFont="1" applyNumberFormat="1"/>
    <xf borderId="5" fillId="3" fontId="1" numFmtId="9" xfId="0" applyAlignment="1" applyBorder="1" applyFont="1" applyNumberFormat="1">
      <alignment readingOrder="0"/>
    </xf>
    <xf borderId="7" fillId="7" fontId="1" numFmtId="164" xfId="0" applyBorder="1" applyFont="1" applyNumberFormat="1"/>
    <xf borderId="4" fillId="2" fontId="2" numFmtId="164" xfId="0" applyBorder="1" applyFont="1" applyNumberFormat="1"/>
    <xf borderId="4" fillId="4" fontId="2" numFmtId="164" xfId="0" applyBorder="1" applyFont="1" applyNumberFormat="1"/>
    <xf borderId="0" fillId="0" fontId="2" numFmtId="164" xfId="0" applyFont="1" applyNumberFormat="1"/>
    <xf borderId="7" fillId="7" fontId="7" numFmtId="164" xfId="0" applyBorder="1" applyFont="1" applyNumberFormat="1"/>
    <xf borderId="4" fillId="2" fontId="1" numFmtId="164" xfId="0" applyBorder="1" applyFont="1" applyNumberFormat="1"/>
    <xf borderId="6" fillId="0" fontId="2" numFmtId="0" xfId="0" applyBorder="1" applyFont="1"/>
    <xf borderId="6" fillId="0" fontId="1" numFmtId="164" xfId="0" applyBorder="1" applyFont="1" applyNumberFormat="1"/>
    <xf borderId="7" fillId="5" fontId="1" numFmtId="0" xfId="0" applyBorder="1" applyFont="1"/>
    <xf borderId="10" fillId="2" fontId="2" numFmtId="164" xfId="0" applyBorder="1" applyFont="1" applyNumberFormat="1"/>
    <xf borderId="4" fillId="0" fontId="2" numFmtId="164" xfId="0" applyBorder="1" applyFont="1" applyNumberFormat="1"/>
    <xf borderId="4" fillId="4" fontId="2" numFmtId="40" xfId="0" applyBorder="1" applyFont="1" applyNumberFormat="1"/>
    <xf borderId="4" fillId="8" fontId="2" numFmtId="40" xfId="0" applyBorder="1" applyFill="1" applyFont="1" applyNumberFormat="1"/>
    <xf borderId="4" fillId="0" fontId="2" numFmtId="40" xfId="0" applyBorder="1" applyFont="1" applyNumberFormat="1"/>
    <xf borderId="0" fillId="0" fontId="1" numFmtId="9" xfId="0" applyFont="1" applyNumberFormat="1"/>
    <xf borderId="3" fillId="0" fontId="1" numFmtId="164" xfId="0" applyAlignment="1" applyBorder="1" applyFont="1" applyNumberFormat="1">
      <alignment horizontal="right"/>
    </xf>
    <xf borderId="9" fillId="0" fontId="1" numFmtId="164" xfId="0" applyAlignment="1" applyBorder="1" applyFont="1" applyNumberFormat="1">
      <alignment horizontal="right"/>
    </xf>
    <xf borderId="0" fillId="0" fontId="1" numFmtId="17" xfId="0" applyFont="1" applyNumberFormat="1"/>
    <xf borderId="4" fillId="8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30</xdr:row>
      <xdr:rowOff>0</xdr:rowOff>
    </xdr:from>
    <xdr:ext cx="4648200" cy="50196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36.57"/>
    <col customWidth="1" min="2" max="2" width="12.57"/>
    <col customWidth="1" min="3" max="3" width="6.43"/>
    <col customWidth="1" min="4" max="4" width="13.71"/>
    <col customWidth="1" min="5" max="5" width="9.43"/>
    <col customWidth="1" min="6" max="6" width="13.57"/>
    <col customWidth="1" min="7" max="7" width="9.43"/>
    <col customWidth="1" min="8" max="8" width="13.57"/>
    <col customWidth="1" min="9" max="9" width="9.43"/>
    <col customWidth="1" min="10" max="10" width="13.57"/>
    <col customWidth="1" min="11" max="11" width="9.43"/>
    <col customWidth="1" min="12" max="12" width="13.57"/>
    <col customWidth="1" min="13" max="13" width="9.43"/>
    <col customWidth="1" min="14" max="14" width="13.57"/>
    <col customWidth="1" min="15" max="15" width="10.86"/>
    <col customWidth="1" min="16" max="16" width="9.86"/>
    <col customWidth="1" min="17" max="17" width="9.57"/>
    <col customWidth="1" min="18" max="18" width="9.86"/>
    <col customWidth="1" min="19" max="19" width="8.71"/>
    <col customWidth="1" min="20" max="20" width="9.86"/>
    <col customWidth="1" min="21" max="30" width="8.71"/>
  </cols>
  <sheetData>
    <row r="1" ht="14.25" customHeight="1">
      <c r="A1" s="1"/>
      <c r="B1" s="2"/>
      <c r="C1" s="3" t="s">
        <v>0</v>
      </c>
      <c r="D1" s="4"/>
      <c r="E1" s="5" t="s">
        <v>1</v>
      </c>
      <c r="F1" s="4"/>
      <c r="G1" s="3" t="s">
        <v>2</v>
      </c>
      <c r="H1" s="4"/>
      <c r="I1" s="5" t="s">
        <v>3</v>
      </c>
      <c r="J1" s="4"/>
      <c r="K1" s="3" t="s">
        <v>4</v>
      </c>
      <c r="L1" s="4"/>
      <c r="M1" s="5" t="s">
        <v>5</v>
      </c>
      <c r="N1" s="4"/>
      <c r="O1" s="3" t="s">
        <v>6</v>
      </c>
      <c r="P1" s="4"/>
      <c r="Q1" s="5" t="s">
        <v>7</v>
      </c>
      <c r="R1" s="4"/>
      <c r="S1" s="3" t="s">
        <v>8</v>
      </c>
      <c r="T1" s="4"/>
      <c r="U1" s="5" t="s">
        <v>9</v>
      </c>
      <c r="V1" s="4"/>
      <c r="W1" s="3" t="s">
        <v>10</v>
      </c>
      <c r="X1" s="4"/>
      <c r="Y1" s="3" t="s">
        <v>11</v>
      </c>
      <c r="Z1" s="4"/>
      <c r="AA1" s="3" t="s">
        <v>12</v>
      </c>
      <c r="AB1" s="4"/>
      <c r="AC1" s="6" t="s">
        <v>13</v>
      </c>
      <c r="AD1" s="4"/>
    </row>
    <row r="2" ht="14.25" customHeight="1">
      <c r="A2" s="7" t="s">
        <v>14</v>
      </c>
      <c r="B2" s="8" t="s">
        <v>15</v>
      </c>
      <c r="C2" s="9" t="s">
        <v>16</v>
      </c>
      <c r="D2" s="10" t="s">
        <v>17</v>
      </c>
      <c r="E2" s="9" t="s">
        <v>16</v>
      </c>
      <c r="F2" s="10" t="s">
        <v>17</v>
      </c>
      <c r="G2" s="9" t="s">
        <v>16</v>
      </c>
      <c r="H2" s="10" t="s">
        <v>17</v>
      </c>
      <c r="I2" s="9" t="s">
        <v>16</v>
      </c>
      <c r="J2" s="10" t="s">
        <v>17</v>
      </c>
      <c r="K2" s="9" t="s">
        <v>16</v>
      </c>
      <c r="L2" s="10" t="s">
        <v>17</v>
      </c>
      <c r="M2" s="9" t="s">
        <v>16</v>
      </c>
      <c r="N2" s="10" t="s">
        <v>17</v>
      </c>
      <c r="O2" s="9" t="s">
        <v>16</v>
      </c>
      <c r="P2" s="10" t="s">
        <v>17</v>
      </c>
      <c r="Q2" s="9" t="s">
        <v>16</v>
      </c>
      <c r="R2" s="10" t="s">
        <v>17</v>
      </c>
      <c r="S2" s="9" t="s">
        <v>16</v>
      </c>
      <c r="T2" s="10" t="s">
        <v>17</v>
      </c>
      <c r="U2" s="9" t="s">
        <v>16</v>
      </c>
      <c r="V2" s="10" t="s">
        <v>17</v>
      </c>
      <c r="W2" s="9" t="s">
        <v>16</v>
      </c>
      <c r="X2" s="10" t="s">
        <v>17</v>
      </c>
      <c r="Y2" s="9" t="s">
        <v>16</v>
      </c>
      <c r="Z2" s="10" t="s">
        <v>17</v>
      </c>
      <c r="AA2" s="9" t="s">
        <v>16</v>
      </c>
      <c r="AB2" s="10" t="s">
        <v>17</v>
      </c>
      <c r="AC2" s="11" t="s">
        <v>16</v>
      </c>
      <c r="AD2" s="12" t="s">
        <v>17</v>
      </c>
    </row>
    <row r="3" ht="14.25" customHeight="1">
      <c r="A3" s="13" t="s">
        <v>18</v>
      </c>
      <c r="B3" s="14">
        <v>40.0</v>
      </c>
      <c r="C3" s="15">
        <v>6.0</v>
      </c>
      <c r="D3" s="16">
        <f t="shared" ref="D3:D12" si="2">C3*$B3</f>
        <v>240</v>
      </c>
      <c r="E3" s="15">
        <v>6.0</v>
      </c>
      <c r="F3" s="16">
        <f t="shared" ref="F3:F12" si="3">E3*$B3</f>
        <v>240</v>
      </c>
      <c r="G3" s="17">
        <v>6.0</v>
      </c>
      <c r="H3" s="16">
        <f t="shared" ref="H3:H12" si="4">G3*$B3</f>
        <v>240</v>
      </c>
      <c r="I3" s="17">
        <v>6.0</v>
      </c>
      <c r="J3" s="16">
        <f t="shared" ref="J3:J12" si="5">I3*$B3</f>
        <v>240</v>
      </c>
      <c r="K3" s="17">
        <v>6.0</v>
      </c>
      <c r="L3" s="16">
        <f t="shared" ref="L3:L12" si="6">K3*$B3</f>
        <v>240</v>
      </c>
      <c r="M3" s="17">
        <v>6.0</v>
      </c>
      <c r="N3" s="16">
        <f t="shared" ref="N3:N12" si="7">M3*$B3</f>
        <v>240</v>
      </c>
      <c r="O3" s="17">
        <v>3.0</v>
      </c>
      <c r="P3" s="16">
        <f t="shared" ref="P3:P12" si="8">O3*$B3</f>
        <v>120</v>
      </c>
      <c r="Q3" s="17">
        <v>6.0</v>
      </c>
      <c r="R3" s="16">
        <f t="shared" ref="R3:R12" si="9">Q3*$B3</f>
        <v>240</v>
      </c>
      <c r="S3" s="17">
        <v>6.0</v>
      </c>
      <c r="T3" s="16">
        <f t="shared" ref="T3:T12" si="10">S3*$B3</f>
        <v>240</v>
      </c>
      <c r="U3" s="17">
        <v>6.0</v>
      </c>
      <c r="V3" s="16">
        <f t="shared" ref="V3:V12" si="11">U3*$B3</f>
        <v>240</v>
      </c>
      <c r="W3" s="17">
        <v>6.0</v>
      </c>
      <c r="X3" s="16">
        <f t="shared" ref="X3:X12" si="12">W3*$B3</f>
        <v>240</v>
      </c>
      <c r="Y3" s="17">
        <v>6.0</v>
      </c>
      <c r="Z3" s="16">
        <f t="shared" ref="Z3:Z12" si="13">Y3*$B3</f>
        <v>240</v>
      </c>
      <c r="AA3" s="17">
        <v>6.0</v>
      </c>
      <c r="AB3" s="16">
        <f t="shared" ref="AB3:AB12" si="14">AA3*$B3</f>
        <v>240</v>
      </c>
      <c r="AC3" s="18">
        <f t="shared" ref="AC3:AD3" si="1">C3+E3+G3+I3+K3+M3+O3+Q3+S3+U3+W3+Y3+AA3</f>
        <v>75</v>
      </c>
      <c r="AD3" s="18">
        <f t="shared" si="1"/>
        <v>3000</v>
      </c>
    </row>
    <row r="4" ht="14.25" customHeight="1">
      <c r="A4" s="19" t="s">
        <v>19</v>
      </c>
      <c r="B4" s="14">
        <v>32.0</v>
      </c>
      <c r="C4" s="15">
        <v>6.0</v>
      </c>
      <c r="D4" s="16">
        <f t="shared" si="2"/>
        <v>192</v>
      </c>
      <c r="E4" s="15">
        <v>6.0</v>
      </c>
      <c r="F4" s="16">
        <f t="shared" si="3"/>
        <v>192</v>
      </c>
      <c r="G4" s="17">
        <v>6.0</v>
      </c>
      <c r="H4" s="16">
        <f t="shared" si="4"/>
        <v>192</v>
      </c>
      <c r="I4" s="17">
        <v>6.0</v>
      </c>
      <c r="J4" s="16">
        <f t="shared" si="5"/>
        <v>192</v>
      </c>
      <c r="K4" s="17">
        <v>6.0</v>
      </c>
      <c r="L4" s="16">
        <f t="shared" si="6"/>
        <v>192</v>
      </c>
      <c r="M4" s="17">
        <v>6.0</v>
      </c>
      <c r="N4" s="16">
        <f t="shared" si="7"/>
        <v>192</v>
      </c>
      <c r="O4" s="17">
        <v>3.0</v>
      </c>
      <c r="P4" s="16">
        <f t="shared" si="8"/>
        <v>96</v>
      </c>
      <c r="Q4" s="17">
        <v>0.0</v>
      </c>
      <c r="R4" s="16">
        <f t="shared" si="9"/>
        <v>0</v>
      </c>
      <c r="S4" s="17">
        <v>0.0</v>
      </c>
      <c r="T4" s="16">
        <f t="shared" si="10"/>
        <v>0</v>
      </c>
      <c r="U4" s="17">
        <v>0.0</v>
      </c>
      <c r="V4" s="16">
        <f t="shared" si="11"/>
        <v>0</v>
      </c>
      <c r="W4" s="17">
        <v>0.0</v>
      </c>
      <c r="X4" s="16">
        <f t="shared" si="12"/>
        <v>0</v>
      </c>
      <c r="Y4" s="17">
        <v>0.0</v>
      </c>
      <c r="Z4" s="16">
        <f t="shared" si="13"/>
        <v>0</v>
      </c>
      <c r="AA4" s="17">
        <v>0.0</v>
      </c>
      <c r="AB4" s="16">
        <f t="shared" si="14"/>
        <v>0</v>
      </c>
      <c r="AC4" s="18">
        <f t="shared" ref="AC4:AD4" si="15">C4+E4+G4+I4+K4+M4+O4+Q4+S4+U4+W4+Y4+AA4</f>
        <v>39</v>
      </c>
      <c r="AD4" s="18">
        <f t="shared" si="15"/>
        <v>1248</v>
      </c>
    </row>
    <row r="5" ht="14.25" customHeight="1">
      <c r="A5" s="19" t="s">
        <v>20</v>
      </c>
      <c r="B5" s="14">
        <v>28.0</v>
      </c>
      <c r="C5" s="15">
        <v>6.0</v>
      </c>
      <c r="D5" s="16">
        <f t="shared" si="2"/>
        <v>168</v>
      </c>
      <c r="E5" s="15">
        <v>6.0</v>
      </c>
      <c r="F5" s="16">
        <f t="shared" si="3"/>
        <v>168</v>
      </c>
      <c r="G5" s="17">
        <v>6.0</v>
      </c>
      <c r="H5" s="16">
        <f t="shared" si="4"/>
        <v>168</v>
      </c>
      <c r="I5" s="17">
        <v>6.0</v>
      </c>
      <c r="J5" s="16">
        <f t="shared" si="5"/>
        <v>168</v>
      </c>
      <c r="K5" s="17">
        <v>6.0</v>
      </c>
      <c r="L5" s="16">
        <f t="shared" si="6"/>
        <v>168</v>
      </c>
      <c r="M5" s="17">
        <v>6.0</v>
      </c>
      <c r="N5" s="16">
        <f t="shared" si="7"/>
        <v>168</v>
      </c>
      <c r="O5" s="17">
        <v>3.0</v>
      </c>
      <c r="P5" s="16">
        <f t="shared" si="8"/>
        <v>84</v>
      </c>
      <c r="Q5" s="17">
        <v>0.0</v>
      </c>
      <c r="R5" s="16">
        <f t="shared" si="9"/>
        <v>0</v>
      </c>
      <c r="S5" s="17">
        <v>0.0</v>
      </c>
      <c r="T5" s="16">
        <f t="shared" si="10"/>
        <v>0</v>
      </c>
      <c r="U5" s="17">
        <v>0.0</v>
      </c>
      <c r="V5" s="16">
        <f t="shared" si="11"/>
        <v>0</v>
      </c>
      <c r="W5" s="17">
        <v>0.0</v>
      </c>
      <c r="X5" s="16">
        <f t="shared" si="12"/>
        <v>0</v>
      </c>
      <c r="Y5" s="17">
        <v>0.0</v>
      </c>
      <c r="Z5" s="16">
        <f t="shared" si="13"/>
        <v>0</v>
      </c>
      <c r="AA5" s="17">
        <v>0.0</v>
      </c>
      <c r="AB5" s="16">
        <f t="shared" si="14"/>
        <v>0</v>
      </c>
      <c r="AC5" s="18">
        <f t="shared" ref="AC5:AD5" si="16">C5+E5+G5+I5+K5+M5+O5+Q5+S5+U5+W5+Y5+AA5</f>
        <v>39</v>
      </c>
      <c r="AD5" s="18">
        <f t="shared" si="16"/>
        <v>1092</v>
      </c>
    </row>
    <row r="6" ht="14.25" customHeight="1">
      <c r="A6" s="19" t="s">
        <v>21</v>
      </c>
      <c r="B6" s="14">
        <v>32.0</v>
      </c>
      <c r="C6" s="15">
        <v>6.0</v>
      </c>
      <c r="D6" s="16">
        <f t="shared" si="2"/>
        <v>192</v>
      </c>
      <c r="E6" s="15">
        <v>6.0</v>
      </c>
      <c r="F6" s="16">
        <f t="shared" si="3"/>
        <v>192</v>
      </c>
      <c r="G6" s="17">
        <v>6.0</v>
      </c>
      <c r="H6" s="16">
        <f t="shared" si="4"/>
        <v>192</v>
      </c>
      <c r="I6" s="17">
        <v>6.0</v>
      </c>
      <c r="J6" s="16">
        <f t="shared" si="5"/>
        <v>192</v>
      </c>
      <c r="K6" s="17">
        <v>6.0</v>
      </c>
      <c r="L6" s="16">
        <f t="shared" si="6"/>
        <v>192</v>
      </c>
      <c r="M6" s="17">
        <v>6.0</v>
      </c>
      <c r="N6" s="16">
        <f t="shared" si="7"/>
        <v>192</v>
      </c>
      <c r="O6" s="17">
        <v>3.0</v>
      </c>
      <c r="P6" s="16">
        <f t="shared" si="8"/>
        <v>96</v>
      </c>
      <c r="Q6" s="17">
        <v>0.0</v>
      </c>
      <c r="R6" s="16">
        <f t="shared" si="9"/>
        <v>0</v>
      </c>
      <c r="S6" s="17">
        <v>0.0</v>
      </c>
      <c r="T6" s="16">
        <f t="shared" si="10"/>
        <v>0</v>
      </c>
      <c r="U6" s="17">
        <v>0.0</v>
      </c>
      <c r="V6" s="16">
        <f t="shared" si="11"/>
        <v>0</v>
      </c>
      <c r="W6" s="17">
        <v>0.0</v>
      </c>
      <c r="X6" s="16">
        <f t="shared" si="12"/>
        <v>0</v>
      </c>
      <c r="Y6" s="17">
        <v>0.0</v>
      </c>
      <c r="Z6" s="16">
        <f t="shared" si="13"/>
        <v>0</v>
      </c>
      <c r="AA6" s="17">
        <v>0.0</v>
      </c>
      <c r="AB6" s="16">
        <f t="shared" si="14"/>
        <v>0</v>
      </c>
      <c r="AC6" s="18">
        <f t="shared" ref="AC6:AD6" si="17">C6+E6+G6+I6+K6+M6+O6+Q6+S6+U6+W6+Y6+AA6</f>
        <v>39</v>
      </c>
      <c r="AD6" s="18">
        <f t="shared" si="17"/>
        <v>1248</v>
      </c>
    </row>
    <row r="7" ht="14.25" customHeight="1">
      <c r="A7" s="19" t="s">
        <v>21</v>
      </c>
      <c r="B7" s="14">
        <v>32.0</v>
      </c>
      <c r="C7" s="15">
        <v>6.0</v>
      </c>
      <c r="D7" s="16">
        <f t="shared" si="2"/>
        <v>192</v>
      </c>
      <c r="E7" s="15">
        <v>6.0</v>
      </c>
      <c r="F7" s="16">
        <f t="shared" si="3"/>
        <v>192</v>
      </c>
      <c r="G7" s="17">
        <v>6.0</v>
      </c>
      <c r="H7" s="16">
        <f t="shared" si="4"/>
        <v>192</v>
      </c>
      <c r="I7" s="17">
        <v>6.0</v>
      </c>
      <c r="J7" s="16">
        <f t="shared" si="5"/>
        <v>192</v>
      </c>
      <c r="K7" s="17">
        <v>6.0</v>
      </c>
      <c r="L7" s="16">
        <f t="shared" si="6"/>
        <v>192</v>
      </c>
      <c r="M7" s="17">
        <v>6.0</v>
      </c>
      <c r="N7" s="16">
        <f t="shared" si="7"/>
        <v>192</v>
      </c>
      <c r="O7" s="17">
        <v>3.0</v>
      </c>
      <c r="P7" s="16">
        <f t="shared" si="8"/>
        <v>96</v>
      </c>
      <c r="Q7" s="17">
        <v>0.0</v>
      </c>
      <c r="R7" s="16">
        <f t="shared" si="9"/>
        <v>0</v>
      </c>
      <c r="S7" s="17">
        <v>0.0</v>
      </c>
      <c r="T7" s="16">
        <f t="shared" si="10"/>
        <v>0</v>
      </c>
      <c r="U7" s="17">
        <v>0.0</v>
      </c>
      <c r="V7" s="16">
        <f t="shared" si="11"/>
        <v>0</v>
      </c>
      <c r="W7" s="17">
        <v>0.0</v>
      </c>
      <c r="X7" s="16">
        <f t="shared" si="12"/>
        <v>0</v>
      </c>
      <c r="Y7" s="17">
        <v>0.0</v>
      </c>
      <c r="Z7" s="16">
        <f t="shared" si="13"/>
        <v>0</v>
      </c>
      <c r="AA7" s="17">
        <v>0.0</v>
      </c>
      <c r="AB7" s="16">
        <f t="shared" si="14"/>
        <v>0</v>
      </c>
      <c r="AC7" s="18">
        <f t="shared" ref="AC7:AD7" si="18">C7+E7+G7+I7+K7+M7+O7+Q7+S7+U7+W7+Y7+AA7</f>
        <v>39</v>
      </c>
      <c r="AD7" s="18">
        <f t="shared" si="18"/>
        <v>1248</v>
      </c>
    </row>
    <row r="8" ht="14.25" customHeight="1">
      <c r="A8" s="20" t="s">
        <v>22</v>
      </c>
      <c r="B8" s="14">
        <v>25.0</v>
      </c>
      <c r="C8" s="15">
        <v>0.0</v>
      </c>
      <c r="D8" s="16">
        <f t="shared" si="2"/>
        <v>0</v>
      </c>
      <c r="E8" s="15">
        <v>0.0</v>
      </c>
      <c r="F8" s="16">
        <f t="shared" si="3"/>
        <v>0</v>
      </c>
      <c r="G8" s="17">
        <v>0.0</v>
      </c>
      <c r="H8" s="16">
        <f t="shared" si="4"/>
        <v>0</v>
      </c>
      <c r="I8" s="17">
        <v>0.0</v>
      </c>
      <c r="J8" s="16">
        <f t="shared" si="5"/>
        <v>0</v>
      </c>
      <c r="K8" s="17">
        <v>0.0</v>
      </c>
      <c r="L8" s="16">
        <f t="shared" si="6"/>
        <v>0</v>
      </c>
      <c r="M8" s="17">
        <v>3.0</v>
      </c>
      <c r="N8" s="16">
        <f t="shared" si="7"/>
        <v>75</v>
      </c>
      <c r="O8" s="17">
        <v>6.0</v>
      </c>
      <c r="P8" s="16">
        <f t="shared" si="8"/>
        <v>150</v>
      </c>
      <c r="Q8" s="17">
        <v>6.0</v>
      </c>
      <c r="R8" s="16">
        <f t="shared" si="9"/>
        <v>150</v>
      </c>
      <c r="S8" s="17">
        <v>6.0</v>
      </c>
      <c r="T8" s="16">
        <f t="shared" si="10"/>
        <v>150</v>
      </c>
      <c r="U8" s="17">
        <v>6.0</v>
      </c>
      <c r="V8" s="16">
        <f t="shared" si="11"/>
        <v>150</v>
      </c>
      <c r="W8" s="17">
        <v>6.0</v>
      </c>
      <c r="X8" s="16">
        <f t="shared" si="12"/>
        <v>150</v>
      </c>
      <c r="Y8" s="17">
        <v>6.0</v>
      </c>
      <c r="Z8" s="16">
        <f t="shared" si="13"/>
        <v>150</v>
      </c>
      <c r="AA8" s="17">
        <v>6.0</v>
      </c>
      <c r="AB8" s="16">
        <f t="shared" si="14"/>
        <v>150</v>
      </c>
      <c r="AC8" s="18">
        <f t="shared" ref="AC8:AD8" si="19">C8+E8+G8+I8+K8+M8+O8+Q8+S8+U8+W8+Y8+AA8</f>
        <v>45</v>
      </c>
      <c r="AD8" s="18">
        <f t="shared" si="19"/>
        <v>1125</v>
      </c>
    </row>
    <row r="9" ht="14.25" customHeight="1">
      <c r="A9" s="20" t="s">
        <v>23</v>
      </c>
      <c r="B9" s="14">
        <v>35.0</v>
      </c>
      <c r="C9" s="15">
        <v>0.0</v>
      </c>
      <c r="D9" s="16">
        <f t="shared" si="2"/>
        <v>0</v>
      </c>
      <c r="E9" s="15">
        <v>0.0</v>
      </c>
      <c r="F9" s="16">
        <f t="shared" si="3"/>
        <v>0</v>
      </c>
      <c r="G9" s="17">
        <v>0.0</v>
      </c>
      <c r="H9" s="16">
        <f t="shared" si="4"/>
        <v>0</v>
      </c>
      <c r="I9" s="17">
        <v>0.0</v>
      </c>
      <c r="J9" s="16">
        <f t="shared" si="5"/>
        <v>0</v>
      </c>
      <c r="K9" s="17">
        <v>0.0</v>
      </c>
      <c r="L9" s="16">
        <f t="shared" si="6"/>
        <v>0</v>
      </c>
      <c r="M9" s="17">
        <v>3.0</v>
      </c>
      <c r="N9" s="16">
        <f t="shared" si="7"/>
        <v>105</v>
      </c>
      <c r="O9" s="17">
        <v>6.0</v>
      </c>
      <c r="P9" s="16">
        <f t="shared" si="8"/>
        <v>210</v>
      </c>
      <c r="Q9" s="17">
        <v>6.0</v>
      </c>
      <c r="R9" s="16">
        <f t="shared" si="9"/>
        <v>210</v>
      </c>
      <c r="S9" s="17">
        <v>6.0</v>
      </c>
      <c r="T9" s="16">
        <f t="shared" si="10"/>
        <v>210</v>
      </c>
      <c r="U9" s="17">
        <v>6.0</v>
      </c>
      <c r="V9" s="16">
        <f t="shared" si="11"/>
        <v>210</v>
      </c>
      <c r="W9" s="17">
        <v>6.0</v>
      </c>
      <c r="X9" s="16">
        <f t="shared" si="12"/>
        <v>210</v>
      </c>
      <c r="Y9" s="17">
        <v>6.0</v>
      </c>
      <c r="Z9" s="16">
        <f t="shared" si="13"/>
        <v>210</v>
      </c>
      <c r="AA9" s="17">
        <v>6.0</v>
      </c>
      <c r="AB9" s="16">
        <f t="shared" si="14"/>
        <v>210</v>
      </c>
      <c r="AC9" s="18">
        <f t="shared" ref="AC9:AD9" si="20">C9+E9+G9+I9+K9+M9+O9+Q9+S9+U9+W9+Y9+AA9</f>
        <v>45</v>
      </c>
      <c r="AD9" s="18">
        <f t="shared" si="20"/>
        <v>1575</v>
      </c>
    </row>
    <row r="10" ht="14.25" customHeight="1">
      <c r="A10" s="20" t="s">
        <v>24</v>
      </c>
      <c r="B10" s="14">
        <v>35.0</v>
      </c>
      <c r="C10" s="15">
        <v>0.0</v>
      </c>
      <c r="D10" s="16">
        <f t="shared" si="2"/>
        <v>0</v>
      </c>
      <c r="E10" s="15">
        <v>0.0</v>
      </c>
      <c r="F10" s="16">
        <f t="shared" si="3"/>
        <v>0</v>
      </c>
      <c r="G10" s="17">
        <v>0.0</v>
      </c>
      <c r="H10" s="16">
        <f t="shared" si="4"/>
        <v>0</v>
      </c>
      <c r="I10" s="17">
        <v>0.0</v>
      </c>
      <c r="J10" s="16">
        <f t="shared" si="5"/>
        <v>0</v>
      </c>
      <c r="K10" s="17">
        <v>0.0</v>
      </c>
      <c r="L10" s="16">
        <f t="shared" si="6"/>
        <v>0</v>
      </c>
      <c r="M10" s="17">
        <v>3.0</v>
      </c>
      <c r="N10" s="16">
        <f t="shared" si="7"/>
        <v>105</v>
      </c>
      <c r="O10" s="17">
        <v>6.0</v>
      </c>
      <c r="P10" s="16">
        <f t="shared" si="8"/>
        <v>210</v>
      </c>
      <c r="Q10" s="17">
        <v>6.0</v>
      </c>
      <c r="R10" s="16">
        <f t="shared" si="9"/>
        <v>210</v>
      </c>
      <c r="S10" s="17">
        <v>6.0</v>
      </c>
      <c r="T10" s="16">
        <f t="shared" si="10"/>
        <v>210</v>
      </c>
      <c r="U10" s="17">
        <v>6.0</v>
      </c>
      <c r="V10" s="16">
        <f t="shared" si="11"/>
        <v>210</v>
      </c>
      <c r="W10" s="17">
        <v>6.0</v>
      </c>
      <c r="X10" s="16">
        <f t="shared" si="12"/>
        <v>210</v>
      </c>
      <c r="Y10" s="17">
        <v>6.0</v>
      </c>
      <c r="Z10" s="16">
        <f t="shared" si="13"/>
        <v>210</v>
      </c>
      <c r="AA10" s="17">
        <v>6.0</v>
      </c>
      <c r="AB10" s="16">
        <f t="shared" si="14"/>
        <v>210</v>
      </c>
      <c r="AC10" s="18">
        <f t="shared" ref="AC10:AD10" si="21">C10+E10+G10+I10+K10+M10+O10+Q10+S10+U10+W10+Y10+AA10</f>
        <v>45</v>
      </c>
      <c r="AD10" s="18">
        <f t="shared" si="21"/>
        <v>1575</v>
      </c>
    </row>
    <row r="11" ht="14.25" customHeight="1">
      <c r="A11" s="20" t="s">
        <v>25</v>
      </c>
      <c r="B11" s="14">
        <v>25.0</v>
      </c>
      <c r="C11" s="15">
        <v>0.0</v>
      </c>
      <c r="D11" s="16">
        <f t="shared" si="2"/>
        <v>0</v>
      </c>
      <c r="E11" s="15">
        <v>0.0</v>
      </c>
      <c r="F11" s="16">
        <f t="shared" si="3"/>
        <v>0</v>
      </c>
      <c r="G11" s="17">
        <v>0.0</v>
      </c>
      <c r="H11" s="16">
        <f t="shared" si="4"/>
        <v>0</v>
      </c>
      <c r="I11" s="17">
        <v>0.0</v>
      </c>
      <c r="J11" s="16">
        <f t="shared" si="5"/>
        <v>0</v>
      </c>
      <c r="K11" s="17">
        <v>0.0</v>
      </c>
      <c r="L11" s="16">
        <f t="shared" si="6"/>
        <v>0</v>
      </c>
      <c r="M11" s="17">
        <v>3.0</v>
      </c>
      <c r="N11" s="16">
        <f t="shared" si="7"/>
        <v>75</v>
      </c>
      <c r="O11" s="17">
        <v>6.0</v>
      </c>
      <c r="P11" s="16">
        <f t="shared" si="8"/>
        <v>150</v>
      </c>
      <c r="Q11" s="17">
        <v>6.0</v>
      </c>
      <c r="R11" s="16">
        <f t="shared" si="9"/>
        <v>150</v>
      </c>
      <c r="S11" s="17">
        <v>6.0</v>
      </c>
      <c r="T11" s="16">
        <f t="shared" si="10"/>
        <v>150</v>
      </c>
      <c r="U11" s="17">
        <v>6.0</v>
      </c>
      <c r="V11" s="16">
        <f t="shared" si="11"/>
        <v>150</v>
      </c>
      <c r="W11" s="17">
        <v>6.0</v>
      </c>
      <c r="X11" s="16">
        <f t="shared" si="12"/>
        <v>150</v>
      </c>
      <c r="Y11" s="17">
        <v>6.0</v>
      </c>
      <c r="Z11" s="16">
        <f t="shared" si="13"/>
        <v>150</v>
      </c>
      <c r="AA11" s="17">
        <v>6.0</v>
      </c>
      <c r="AB11" s="16">
        <f t="shared" si="14"/>
        <v>150</v>
      </c>
      <c r="AC11" s="18">
        <f t="shared" ref="AC11:AD11" si="22">C11+E11+G11+I11+K11+M11+O11+Q11+S11+U11+W11+Y11+AA11</f>
        <v>45</v>
      </c>
      <c r="AD11" s="18">
        <f t="shared" si="22"/>
        <v>1125</v>
      </c>
    </row>
    <row r="12" ht="14.25" customHeight="1">
      <c r="A12" s="21" t="s">
        <v>26</v>
      </c>
      <c r="B12" s="14">
        <v>35.0</v>
      </c>
      <c r="C12" s="15">
        <v>0.0</v>
      </c>
      <c r="D12" s="16">
        <f t="shared" si="2"/>
        <v>0</v>
      </c>
      <c r="E12" s="22">
        <v>0.0</v>
      </c>
      <c r="F12" s="16">
        <f t="shared" si="3"/>
        <v>0</v>
      </c>
      <c r="G12" s="23">
        <v>0.0</v>
      </c>
      <c r="H12" s="16">
        <f t="shared" si="4"/>
        <v>0</v>
      </c>
      <c r="I12" s="23">
        <v>0.0</v>
      </c>
      <c r="J12" s="16">
        <f t="shared" si="5"/>
        <v>0</v>
      </c>
      <c r="K12" s="23">
        <v>0.0</v>
      </c>
      <c r="L12" s="16">
        <f t="shared" si="6"/>
        <v>0</v>
      </c>
      <c r="M12" s="23">
        <v>3.0</v>
      </c>
      <c r="N12" s="16">
        <f t="shared" si="7"/>
        <v>105</v>
      </c>
      <c r="O12" s="23">
        <v>6.0</v>
      </c>
      <c r="P12" s="16">
        <f t="shared" si="8"/>
        <v>210</v>
      </c>
      <c r="Q12" s="23">
        <v>6.0</v>
      </c>
      <c r="R12" s="16">
        <f t="shared" si="9"/>
        <v>210</v>
      </c>
      <c r="S12" s="23">
        <v>6.0</v>
      </c>
      <c r="T12" s="16">
        <f t="shared" si="10"/>
        <v>210</v>
      </c>
      <c r="U12" s="23">
        <v>6.0</v>
      </c>
      <c r="V12" s="16">
        <f t="shared" si="11"/>
        <v>210</v>
      </c>
      <c r="W12" s="23">
        <v>6.0</v>
      </c>
      <c r="X12" s="16">
        <f t="shared" si="12"/>
        <v>210</v>
      </c>
      <c r="Y12" s="23">
        <v>6.0</v>
      </c>
      <c r="Z12" s="16">
        <f t="shared" si="13"/>
        <v>210</v>
      </c>
      <c r="AA12" s="23">
        <v>6.0</v>
      </c>
      <c r="AB12" s="16">
        <f t="shared" si="14"/>
        <v>210</v>
      </c>
      <c r="AC12" s="18">
        <f t="shared" ref="AC12:AD12" si="23">C12+E12+G12+I12+K12+M12+O12+Q12+S12+U12+W12+Y12+AA12</f>
        <v>45</v>
      </c>
      <c r="AD12" s="18">
        <f t="shared" si="23"/>
        <v>1575</v>
      </c>
    </row>
    <row r="13" ht="14.25" customHeight="1">
      <c r="A13" s="24" t="s">
        <v>27</v>
      </c>
      <c r="B13" s="25"/>
      <c r="C13" s="26">
        <f t="shared" ref="C13:AB13" si="24">SUM(C3:C12)</f>
        <v>30</v>
      </c>
      <c r="D13" s="27">
        <f t="shared" si="24"/>
        <v>984</v>
      </c>
      <c r="E13" s="26">
        <f t="shared" si="24"/>
        <v>30</v>
      </c>
      <c r="F13" s="27">
        <f t="shared" si="24"/>
        <v>984</v>
      </c>
      <c r="G13" s="26">
        <f t="shared" si="24"/>
        <v>30</v>
      </c>
      <c r="H13" s="27">
        <f t="shared" si="24"/>
        <v>984</v>
      </c>
      <c r="I13" s="26">
        <f t="shared" si="24"/>
        <v>30</v>
      </c>
      <c r="J13" s="27">
        <f t="shared" si="24"/>
        <v>984</v>
      </c>
      <c r="K13" s="26">
        <f t="shared" si="24"/>
        <v>30</v>
      </c>
      <c r="L13" s="27">
        <f t="shared" si="24"/>
        <v>984</v>
      </c>
      <c r="M13" s="26">
        <f t="shared" si="24"/>
        <v>45</v>
      </c>
      <c r="N13" s="27">
        <f t="shared" si="24"/>
        <v>1449</v>
      </c>
      <c r="O13" s="26">
        <f t="shared" si="24"/>
        <v>45</v>
      </c>
      <c r="P13" s="27">
        <f t="shared" si="24"/>
        <v>1422</v>
      </c>
      <c r="Q13" s="26">
        <f t="shared" si="24"/>
        <v>36</v>
      </c>
      <c r="R13" s="27">
        <f t="shared" si="24"/>
        <v>1170</v>
      </c>
      <c r="S13" s="26">
        <f t="shared" si="24"/>
        <v>36</v>
      </c>
      <c r="T13" s="27">
        <f t="shared" si="24"/>
        <v>1170</v>
      </c>
      <c r="U13" s="26">
        <f t="shared" si="24"/>
        <v>36</v>
      </c>
      <c r="V13" s="27">
        <f t="shared" si="24"/>
        <v>1170</v>
      </c>
      <c r="W13" s="26">
        <f t="shared" si="24"/>
        <v>36</v>
      </c>
      <c r="X13" s="27">
        <f t="shared" si="24"/>
        <v>1170</v>
      </c>
      <c r="Y13" s="26">
        <f t="shared" si="24"/>
        <v>36</v>
      </c>
      <c r="Z13" s="27">
        <f t="shared" si="24"/>
        <v>1170</v>
      </c>
      <c r="AA13" s="26">
        <f t="shared" si="24"/>
        <v>36</v>
      </c>
      <c r="AB13" s="27">
        <f t="shared" si="24"/>
        <v>1170</v>
      </c>
      <c r="AC13" s="28">
        <f t="shared" ref="AC13:AD13" si="25">SUM(O3:O12)</f>
        <v>45</v>
      </c>
      <c r="AD13" s="29">
        <f t="shared" si="25"/>
        <v>1422</v>
      </c>
    </row>
    <row r="14" ht="14.25" customHeight="1">
      <c r="B14" s="30"/>
      <c r="D14" s="31"/>
      <c r="F14" s="31"/>
      <c r="H14" s="31"/>
      <c r="J14" s="31"/>
      <c r="L14" s="31"/>
      <c r="N14" s="31"/>
      <c r="AC14" s="32"/>
      <c r="AD14" s="32"/>
    </row>
    <row r="15" ht="14.25" customHeight="1">
      <c r="A15" s="1"/>
      <c r="B15" s="30"/>
      <c r="D15" s="33"/>
      <c r="F15" s="34"/>
      <c r="H15" s="34"/>
      <c r="J15" s="34"/>
      <c r="L15" s="34"/>
      <c r="N15" s="34"/>
      <c r="P15" s="34"/>
      <c r="R15" s="34"/>
      <c r="T15" s="34"/>
      <c r="V15" s="34"/>
      <c r="X15" s="34"/>
      <c r="Z15" s="34"/>
      <c r="AB15" s="34"/>
      <c r="AC15" s="18"/>
      <c r="AD15" s="18">
        <f t="shared" ref="AD15:AD16" si="26">D15+F15+H15+J15+L15+N15</f>
        <v>0</v>
      </c>
    </row>
    <row r="16" ht="14.25" customHeight="1">
      <c r="A16" s="35"/>
      <c r="B16" s="36"/>
      <c r="C16" s="35"/>
      <c r="D16" s="37"/>
      <c r="E16" s="35"/>
      <c r="F16" s="37"/>
      <c r="G16" s="35"/>
      <c r="H16" s="37"/>
      <c r="I16" s="35"/>
      <c r="J16" s="37"/>
      <c r="K16" s="35"/>
      <c r="L16" s="38"/>
      <c r="M16" s="35"/>
      <c r="N16" s="38"/>
      <c r="O16" s="39"/>
      <c r="P16" s="38"/>
      <c r="Q16" s="35"/>
      <c r="R16" s="38"/>
      <c r="S16" s="35"/>
      <c r="T16" s="38"/>
      <c r="U16" s="35"/>
      <c r="V16" s="38"/>
      <c r="W16" s="35"/>
      <c r="X16" s="38"/>
      <c r="Y16" s="35"/>
      <c r="Z16" s="38"/>
      <c r="AA16" s="35"/>
      <c r="AB16" s="38"/>
      <c r="AC16" s="40"/>
      <c r="AD16" s="40">
        <f t="shared" si="26"/>
        <v>0</v>
      </c>
    </row>
    <row r="17" ht="14.25" customHeight="1">
      <c r="A17" s="24" t="s">
        <v>28</v>
      </c>
      <c r="B17" s="41"/>
      <c r="C17" s="42"/>
      <c r="D17" s="43">
        <f>SUM(D15:D16)</f>
        <v>0</v>
      </c>
      <c r="E17" s="42"/>
      <c r="F17" s="43">
        <f>SUM(F15:F16)</f>
        <v>0</v>
      </c>
      <c r="G17" s="42"/>
      <c r="H17" s="43">
        <f>SUM(H15:H16)</f>
        <v>0</v>
      </c>
      <c r="I17" s="42"/>
      <c r="J17" s="43">
        <f>SUM(J15:J16)</f>
        <v>0</v>
      </c>
      <c r="K17" s="42"/>
      <c r="L17" s="43">
        <f>SUM(L15:L16)</f>
        <v>0</v>
      </c>
      <c r="M17" s="42"/>
      <c r="N17" s="43">
        <f>SUM(N15:N16)</f>
        <v>0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44"/>
      <c r="AD17" s="45">
        <f>SUM(AD15:AD16)</f>
        <v>0</v>
      </c>
    </row>
    <row r="18" ht="14.25" customHeight="1">
      <c r="A18" s="1"/>
      <c r="B18" s="30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32"/>
      <c r="AD18" s="32"/>
    </row>
    <row r="19" ht="14.25" customHeight="1">
      <c r="A19" s="35" t="s">
        <v>29</v>
      </c>
      <c r="B19" s="46">
        <v>0.05</v>
      </c>
      <c r="C19" s="35"/>
      <c r="D19" s="47">
        <f>(D17+D13)*$B19</f>
        <v>49.2</v>
      </c>
      <c r="E19" s="35"/>
      <c r="F19" s="47">
        <f>(F17+F13)*$B19</f>
        <v>49.2</v>
      </c>
      <c r="G19" s="35"/>
      <c r="H19" s="47">
        <f>(H17+H13)*$B19</f>
        <v>49.2</v>
      </c>
      <c r="I19" s="35"/>
      <c r="J19" s="47">
        <f>(J17+J13)*$B19</f>
        <v>49.2</v>
      </c>
      <c r="K19" s="35"/>
      <c r="L19" s="47">
        <f>(L17+L13)*$B19</f>
        <v>49.2</v>
      </c>
      <c r="M19" s="35"/>
      <c r="N19" s="47">
        <f>(N17+N13)*$B19</f>
        <v>72.45</v>
      </c>
      <c r="O19" s="39"/>
      <c r="P19" s="47">
        <f>(P17+P13)*$B19</f>
        <v>71.1</v>
      </c>
      <c r="Q19" s="35"/>
      <c r="R19" s="47">
        <f>(R17+R13)*$B19</f>
        <v>58.5</v>
      </c>
      <c r="S19" s="35"/>
      <c r="T19" s="47">
        <f>(T17+T13)*$B19</f>
        <v>58.5</v>
      </c>
      <c r="U19" s="35"/>
      <c r="V19" s="47">
        <f>(V17+V13)*$B19</f>
        <v>58.5</v>
      </c>
      <c r="W19" s="35"/>
      <c r="X19" s="47">
        <f>(X17+X13)*$B19</f>
        <v>58.5</v>
      </c>
      <c r="Y19" s="35"/>
      <c r="Z19" s="47">
        <f>(Z17+Z13)*$B19</f>
        <v>58.5</v>
      </c>
      <c r="AA19" s="35"/>
      <c r="AB19" s="47">
        <f>(AB17+AB13)*$B19</f>
        <v>58.5</v>
      </c>
      <c r="AC19" s="40"/>
      <c r="AD19" s="40">
        <f>D19+F19+H19+J19+L19+N19+P19+R19+T19+V19+X19+Z19+AB19</f>
        <v>740.55</v>
      </c>
    </row>
    <row r="20" ht="14.25" customHeight="1">
      <c r="A20" s="24" t="s">
        <v>30</v>
      </c>
      <c r="B20" s="41"/>
      <c r="C20" s="42"/>
      <c r="D20" s="48">
        <f>D19+D17+D13</f>
        <v>1033.2</v>
      </c>
      <c r="E20" s="42"/>
      <c r="F20" s="48">
        <f>F19+F17+F13</f>
        <v>1033.2</v>
      </c>
      <c r="G20" s="42"/>
      <c r="H20" s="48">
        <f>H19+H17+H13</f>
        <v>1033.2</v>
      </c>
      <c r="I20" s="42"/>
      <c r="J20" s="48">
        <f>J19+J17+J13</f>
        <v>1033.2</v>
      </c>
      <c r="K20" s="42"/>
      <c r="L20" s="48">
        <f>L19+L17+L13</f>
        <v>1033.2</v>
      </c>
      <c r="M20" s="42"/>
      <c r="N20" s="48">
        <f>N19+N17+N13</f>
        <v>1521.45</v>
      </c>
      <c r="P20" s="48">
        <f>P19+P17+P13</f>
        <v>1493.1</v>
      </c>
      <c r="Q20" s="1"/>
      <c r="R20" s="48">
        <f>R19+R17+R13</f>
        <v>1228.5</v>
      </c>
      <c r="S20" s="1"/>
      <c r="T20" s="48">
        <f>T19+T17+T13</f>
        <v>1228.5</v>
      </c>
      <c r="U20" s="1"/>
      <c r="V20" s="48">
        <f>V19+V17+V13</f>
        <v>1228.5</v>
      </c>
      <c r="W20" s="1"/>
      <c r="X20" s="48">
        <f>X19+X17+X13</f>
        <v>1228.5</v>
      </c>
      <c r="Y20" s="1"/>
      <c r="Z20" s="48">
        <f>Z19+Z17+Z13</f>
        <v>1228.5</v>
      </c>
      <c r="AA20" s="1"/>
      <c r="AB20" s="48">
        <f>AB19+AB17+AB13</f>
        <v>1228.5</v>
      </c>
      <c r="AC20" s="44"/>
      <c r="AD20" s="49">
        <f>AD19+AD17+AD13</f>
        <v>2162.55</v>
      </c>
    </row>
    <row r="21" ht="14.25" customHeight="1">
      <c r="A21" s="10" t="s">
        <v>31</v>
      </c>
      <c r="B21" s="30"/>
      <c r="C21" s="1"/>
      <c r="D21" s="50">
        <f>D20</f>
        <v>1033.2</v>
      </c>
      <c r="E21" s="1"/>
      <c r="F21" s="50">
        <f>F20+D21</f>
        <v>2066.4</v>
      </c>
      <c r="G21" s="1"/>
      <c r="H21" s="50">
        <f>H20+F21</f>
        <v>3099.6</v>
      </c>
      <c r="I21" s="1"/>
      <c r="J21" s="50">
        <f>J20+H21</f>
        <v>4132.8</v>
      </c>
      <c r="K21" s="1"/>
      <c r="L21" s="50">
        <f>L20+J21</f>
        <v>5166</v>
      </c>
      <c r="M21" s="1"/>
      <c r="N21" s="50">
        <f>N20+L21</f>
        <v>6687.45</v>
      </c>
      <c r="P21" s="50">
        <f>P20+N21</f>
        <v>8180.55</v>
      </c>
      <c r="Q21" s="1"/>
      <c r="R21" s="50">
        <f>R20+P21</f>
        <v>9409.05</v>
      </c>
      <c r="S21" s="1"/>
      <c r="T21" s="50">
        <f>T20+R21</f>
        <v>10637.55</v>
      </c>
      <c r="U21" s="1"/>
      <c r="V21" s="50">
        <f>V20+T21</f>
        <v>11866.05</v>
      </c>
      <c r="W21" s="1"/>
      <c r="X21" s="50">
        <f>X20+V21</f>
        <v>13094.55</v>
      </c>
      <c r="Y21" s="1"/>
      <c r="Z21" s="50">
        <f>Z20+X21</f>
        <v>14323.05</v>
      </c>
      <c r="AA21" s="1"/>
      <c r="AB21" s="50">
        <f>AB20+Z21</f>
        <v>15551.55</v>
      </c>
      <c r="AC21" s="32"/>
      <c r="AD21" s="32"/>
    </row>
    <row r="22" ht="14.25" customHeight="1">
      <c r="A22" s="10"/>
      <c r="B22" s="30"/>
      <c r="C22" s="1"/>
      <c r="D22" s="50"/>
      <c r="E22" s="1"/>
      <c r="F22" s="50"/>
      <c r="G22" s="1"/>
      <c r="H22" s="50"/>
      <c r="I22" s="1"/>
      <c r="J22" s="50"/>
      <c r="K22" s="1"/>
      <c r="L22" s="50"/>
      <c r="M22" s="1"/>
      <c r="N22" s="50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32"/>
      <c r="AD22" s="32"/>
    </row>
    <row r="23" ht="14.25" customHeight="1">
      <c r="A23" s="1"/>
      <c r="B23" s="30"/>
      <c r="C23" s="1"/>
      <c r="D23" s="50"/>
      <c r="E23" s="1"/>
      <c r="F23" s="50"/>
      <c r="G23" s="1"/>
      <c r="H23" s="50"/>
      <c r="I23" s="1"/>
      <c r="J23" s="50"/>
      <c r="K23" s="1"/>
      <c r="L23" s="50"/>
      <c r="M23" s="1"/>
      <c r="N23" s="50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32"/>
      <c r="AD23" s="32"/>
    </row>
    <row r="24" ht="14.25" customHeight="1">
      <c r="A24" s="35" t="s">
        <v>32</v>
      </c>
      <c r="B24" s="46">
        <v>0.15</v>
      </c>
      <c r="C24" s="35"/>
      <c r="D24" s="51">
        <f>D20*$B24</f>
        <v>154.98</v>
      </c>
      <c r="E24" s="35"/>
      <c r="F24" s="51">
        <f>F20*$B24</f>
        <v>154.98</v>
      </c>
      <c r="G24" s="35"/>
      <c r="H24" s="51">
        <f>H20*$B24</f>
        <v>154.98</v>
      </c>
      <c r="I24" s="35"/>
      <c r="J24" s="51">
        <f>J20*$B24</f>
        <v>154.98</v>
      </c>
      <c r="K24" s="35"/>
      <c r="L24" s="51">
        <f>L20*$B24</f>
        <v>154.98</v>
      </c>
      <c r="M24" s="35"/>
      <c r="N24" s="51">
        <f>N20*$B24</f>
        <v>228.2175</v>
      </c>
      <c r="O24" s="39"/>
      <c r="P24" s="51">
        <f>P20*$B24</f>
        <v>223.965</v>
      </c>
      <c r="Q24" s="35"/>
      <c r="R24" s="51">
        <f>R20*$B24</f>
        <v>184.275</v>
      </c>
      <c r="S24" s="35"/>
      <c r="T24" s="51">
        <f>T20*$B24</f>
        <v>184.275</v>
      </c>
      <c r="U24" s="35"/>
      <c r="V24" s="51">
        <f>V20*$B24</f>
        <v>184.275</v>
      </c>
      <c r="W24" s="35"/>
      <c r="X24" s="51">
        <f>X20*$B24</f>
        <v>184.275</v>
      </c>
      <c r="Y24" s="35"/>
      <c r="Z24" s="51">
        <f>Z20*$B24</f>
        <v>184.275</v>
      </c>
      <c r="AA24" s="35"/>
      <c r="AB24" s="51">
        <f>AB20*$B24</f>
        <v>184.275</v>
      </c>
      <c r="AC24" s="40">
        <f>C24+E24+G24+I24+K24+M24</f>
        <v>0</v>
      </c>
      <c r="AD24" s="40">
        <f>D24+F24+H24+J24+L24+N24+P24+R24+T24+V24+X24+Z24+AB24</f>
        <v>2332.7325</v>
      </c>
    </row>
    <row r="25" ht="14.25" customHeight="1">
      <c r="A25" s="24" t="s">
        <v>33</v>
      </c>
      <c r="B25" s="41"/>
      <c r="C25" s="42"/>
      <c r="D25" s="52">
        <f>D24+D20</f>
        <v>1188.18</v>
      </c>
      <c r="E25" s="42"/>
      <c r="F25" s="52">
        <f>F24+F20</f>
        <v>1188.18</v>
      </c>
      <c r="G25" s="42"/>
      <c r="H25" s="52">
        <f>H24+H20</f>
        <v>1188.18</v>
      </c>
      <c r="I25" s="42"/>
      <c r="J25" s="52">
        <f>J24+J20</f>
        <v>1188.18</v>
      </c>
      <c r="K25" s="42"/>
      <c r="L25" s="52">
        <f>L24+L20</f>
        <v>1188.18</v>
      </c>
      <c r="M25" s="42"/>
      <c r="N25" s="52">
        <f>N24+N20</f>
        <v>1749.6675</v>
      </c>
      <c r="P25" s="52">
        <f>P24+P20</f>
        <v>1717.065</v>
      </c>
      <c r="Q25" s="1"/>
      <c r="R25" s="52">
        <f>R24+R20</f>
        <v>1412.775</v>
      </c>
      <c r="S25" s="1"/>
      <c r="T25" s="52">
        <f>T24+T20</f>
        <v>1412.775</v>
      </c>
      <c r="U25" s="1"/>
      <c r="V25" s="52">
        <f>V24+V20</f>
        <v>1412.775</v>
      </c>
      <c r="W25" s="1"/>
      <c r="X25" s="52">
        <f>X24+X20</f>
        <v>1412.775</v>
      </c>
      <c r="Y25" s="1"/>
      <c r="Z25" s="52">
        <f>Z24+Z20</f>
        <v>1412.775</v>
      </c>
      <c r="AA25" s="1"/>
      <c r="AB25" s="52">
        <f>AB24+AB20</f>
        <v>1412.775</v>
      </c>
      <c r="AC25" s="44"/>
      <c r="AD25" s="49">
        <f>AD24+AD20</f>
        <v>4495.2825</v>
      </c>
    </row>
    <row r="26" ht="14.25" customHeight="1">
      <c r="A26" s="10" t="s">
        <v>34</v>
      </c>
      <c r="B26" s="30"/>
      <c r="C26" s="1"/>
      <c r="D26" s="31">
        <f>D25</f>
        <v>1188.18</v>
      </c>
      <c r="E26" s="1"/>
      <c r="F26" s="31">
        <f>F25+D26</f>
        <v>2376.36</v>
      </c>
      <c r="G26" s="1"/>
      <c r="H26" s="31">
        <f>H25+F26</f>
        <v>3564.54</v>
      </c>
      <c r="I26" s="1"/>
      <c r="J26" s="31">
        <f>J25+H26</f>
        <v>4752.72</v>
      </c>
      <c r="K26" s="1"/>
      <c r="L26" s="31">
        <f>L25+J26</f>
        <v>5940.9</v>
      </c>
      <c r="M26" s="1"/>
      <c r="N26" s="31">
        <f>N25+L26</f>
        <v>7690.5675</v>
      </c>
      <c r="P26" s="31">
        <f>P25+N26</f>
        <v>9407.6325</v>
      </c>
      <c r="Q26" s="1"/>
      <c r="R26" s="31">
        <f>R25+P26</f>
        <v>10820.4075</v>
      </c>
      <c r="S26" s="1"/>
      <c r="T26" s="31">
        <f>T25+R26</f>
        <v>12233.1825</v>
      </c>
      <c r="U26" s="1"/>
      <c r="V26" s="31">
        <f>V25+T26</f>
        <v>13645.9575</v>
      </c>
      <c r="W26" s="1"/>
      <c r="X26" s="31">
        <f>X25+V26</f>
        <v>15058.7325</v>
      </c>
      <c r="Y26" s="1"/>
      <c r="Z26" s="31">
        <f>Z25+X26</f>
        <v>16471.5075</v>
      </c>
      <c r="AA26" s="1"/>
      <c r="AB26" s="31">
        <f>AB25+Z26</f>
        <v>17884.2825</v>
      </c>
      <c r="AC26" s="32"/>
      <c r="AD26" s="32"/>
    </row>
    <row r="27" ht="14.25" customHeight="1">
      <c r="A27" s="53"/>
      <c r="B27" s="36"/>
      <c r="C27" s="35"/>
      <c r="D27" s="54"/>
      <c r="E27" s="35"/>
      <c r="F27" s="54"/>
      <c r="G27" s="35"/>
      <c r="H27" s="54"/>
      <c r="I27" s="35"/>
      <c r="J27" s="54"/>
      <c r="K27" s="35"/>
      <c r="L27" s="54"/>
      <c r="M27" s="35"/>
      <c r="N27" s="54"/>
      <c r="O27" s="39"/>
      <c r="P27" s="39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55"/>
      <c r="AD27" s="55"/>
    </row>
    <row r="28" ht="14.25" customHeight="1">
      <c r="A28" s="24" t="s">
        <v>35</v>
      </c>
      <c r="B28" s="41"/>
      <c r="C28" s="42"/>
      <c r="D28" s="48">
        <f>D25-D20</f>
        <v>154.98</v>
      </c>
      <c r="E28" s="42"/>
      <c r="F28" s="48">
        <f>F25-F20</f>
        <v>154.98</v>
      </c>
      <c r="G28" s="42"/>
      <c r="H28" s="48">
        <f>H25-H20</f>
        <v>154.98</v>
      </c>
      <c r="I28" s="42"/>
      <c r="J28" s="48">
        <f>J25-J20</f>
        <v>154.98</v>
      </c>
      <c r="K28" s="42"/>
      <c r="L28" s="48">
        <f>L25-L20</f>
        <v>154.98</v>
      </c>
      <c r="M28" s="42"/>
      <c r="N28" s="48">
        <f>N25-N20</f>
        <v>228.2175</v>
      </c>
      <c r="P28" s="56">
        <f>P25-P20</f>
        <v>223.965</v>
      </c>
      <c r="Q28" s="1"/>
      <c r="R28" s="48">
        <f>R25-R20</f>
        <v>184.275</v>
      </c>
      <c r="S28" s="57"/>
      <c r="T28" s="48">
        <f>T25-T20</f>
        <v>184.275</v>
      </c>
      <c r="U28" s="57"/>
      <c r="V28" s="48">
        <f>V25-V20</f>
        <v>184.275</v>
      </c>
      <c r="W28" s="57"/>
      <c r="X28" s="48">
        <f>X25-X20</f>
        <v>184.275</v>
      </c>
      <c r="Y28" s="57"/>
      <c r="Z28" s="48">
        <f>Z25-Z20</f>
        <v>184.275</v>
      </c>
      <c r="AA28" s="57"/>
      <c r="AB28" s="48">
        <f>AB25-AB20</f>
        <v>184.275</v>
      </c>
      <c r="AC28" s="44"/>
      <c r="AD28" s="58">
        <f>AD25-AD20</f>
        <v>2332.7325</v>
      </c>
    </row>
    <row r="29" ht="14.25" customHeight="1">
      <c r="A29" s="10" t="s">
        <v>36</v>
      </c>
      <c r="B29" s="30"/>
      <c r="D29" s="59">
        <f>D28</f>
        <v>154.98</v>
      </c>
      <c r="F29" s="59">
        <f>D29+F28</f>
        <v>309.96</v>
      </c>
      <c r="H29" s="59">
        <f>F29+H28</f>
        <v>464.94</v>
      </c>
      <c r="J29" s="59">
        <f>H29+J28</f>
        <v>619.92</v>
      </c>
      <c r="L29" s="59">
        <f>J29+L28</f>
        <v>774.9</v>
      </c>
      <c r="N29" s="59">
        <f>L29+N28</f>
        <v>1003.1175</v>
      </c>
      <c r="O29" s="60"/>
      <c r="P29" s="59">
        <f>N29+P28</f>
        <v>1227.0825</v>
      </c>
      <c r="Q29" s="60"/>
      <c r="R29" s="59">
        <f>P29+R28</f>
        <v>1411.3575</v>
      </c>
      <c r="S29" s="60"/>
      <c r="T29" s="59">
        <f>R29+T28</f>
        <v>1595.6325</v>
      </c>
      <c r="U29" s="60"/>
      <c r="V29" s="59">
        <f>T29+V28</f>
        <v>1779.9075</v>
      </c>
      <c r="W29" s="60"/>
      <c r="X29" s="59">
        <f>V29+X28</f>
        <v>1964.1825</v>
      </c>
      <c r="Y29" s="60"/>
      <c r="Z29" s="59">
        <f>X29+Z28</f>
        <v>2148.4575</v>
      </c>
      <c r="AA29" s="60"/>
      <c r="AB29" s="59">
        <f>Z29+AB28</f>
        <v>2332.7325</v>
      </c>
    </row>
    <row r="30" ht="14.25" customHeight="1">
      <c r="A30" s="10"/>
      <c r="B30" s="30"/>
      <c r="D30" s="61"/>
      <c r="F30" s="61"/>
    </row>
    <row r="31" ht="18.0" customHeight="1">
      <c r="A31" s="7"/>
      <c r="B31" s="8"/>
    </row>
    <row r="32" ht="18.0" customHeight="1">
      <c r="A32" s="1"/>
      <c r="B32" s="62"/>
    </row>
    <row r="33" ht="18.0" customHeight="1">
      <c r="A33" s="1"/>
      <c r="B33" s="62"/>
    </row>
    <row r="34" ht="18.0" customHeight="1">
      <c r="A34" s="1"/>
      <c r="B34" s="62"/>
    </row>
    <row r="35" ht="18.0" customHeight="1">
      <c r="A35" s="1"/>
      <c r="B35" s="62"/>
    </row>
    <row r="36" ht="18.0" customHeight="1">
      <c r="A36" s="1"/>
      <c r="B36" s="62"/>
    </row>
    <row r="37" ht="18.0" customHeight="1">
      <c r="A37" s="35"/>
      <c r="B37" s="63"/>
    </row>
    <row r="38" ht="18.0" customHeight="1">
      <c r="B38" s="30"/>
    </row>
    <row r="39" ht="18.0" customHeight="1">
      <c r="B39" s="30"/>
    </row>
    <row r="40" ht="18.0" customHeight="1">
      <c r="B40" s="30"/>
    </row>
    <row r="41" ht="18.0" customHeight="1">
      <c r="B41" s="30"/>
    </row>
    <row r="42" ht="18.0" customHeight="1">
      <c r="B42" s="30"/>
    </row>
    <row r="43" ht="18.0" customHeight="1">
      <c r="B43" s="30"/>
    </row>
    <row r="44" ht="18.0" customHeight="1">
      <c r="B44" s="30"/>
    </row>
    <row r="45" ht="18.0" customHeight="1">
      <c r="B45" s="30"/>
    </row>
    <row r="46" ht="18.0" customHeight="1">
      <c r="B46" s="30"/>
    </row>
    <row r="47" ht="18.0" customHeight="1">
      <c r="B47" s="30"/>
    </row>
    <row r="48" ht="18.0" customHeight="1">
      <c r="B48" s="30"/>
    </row>
    <row r="49" ht="18.0" customHeight="1">
      <c r="B49" s="30"/>
    </row>
    <row r="50" ht="18.0" customHeight="1">
      <c r="B50" s="30"/>
    </row>
    <row r="51" ht="14.25" customHeight="1">
      <c r="A51" s="64"/>
      <c r="B51" s="30"/>
    </row>
    <row r="52" ht="14.25" customHeight="1">
      <c r="A52" s="64"/>
      <c r="B52" s="30"/>
    </row>
    <row r="53" ht="14.25" customHeight="1">
      <c r="A53" s="64"/>
      <c r="B53" s="30"/>
    </row>
    <row r="54" ht="14.25" customHeight="1">
      <c r="A54" s="64"/>
      <c r="B54" s="30"/>
    </row>
    <row r="55" ht="14.25" customHeight="1">
      <c r="A55" s="64"/>
      <c r="B55" s="30"/>
    </row>
    <row r="56" ht="14.25" customHeight="1">
      <c r="A56" s="64"/>
      <c r="B56" s="30"/>
    </row>
    <row r="57" ht="14.25" customHeight="1">
      <c r="A57" s="64"/>
      <c r="B57" s="30"/>
    </row>
    <row r="58" ht="14.25" customHeight="1">
      <c r="A58" s="64"/>
      <c r="B58" s="30"/>
    </row>
    <row r="59" ht="14.25" customHeight="1">
      <c r="A59" s="64"/>
      <c r="B59" s="30"/>
    </row>
    <row r="60" ht="14.25" customHeight="1">
      <c r="A60" s="64"/>
      <c r="B60" s="30"/>
    </row>
    <row r="61" ht="14.25" customHeight="1">
      <c r="A61" s="64"/>
      <c r="B61" s="30"/>
    </row>
    <row r="62" ht="14.25" customHeight="1">
      <c r="A62" s="64"/>
      <c r="B62" s="30"/>
    </row>
    <row r="63" ht="14.25" customHeight="1">
      <c r="A63" s="64"/>
      <c r="B63" s="30"/>
    </row>
    <row r="64" ht="14.25" customHeight="1">
      <c r="A64" s="64"/>
      <c r="B64" s="30"/>
    </row>
    <row r="65" ht="14.25" customHeight="1">
      <c r="A65" s="64"/>
      <c r="B65" s="30"/>
    </row>
    <row r="66" ht="14.25" customHeight="1">
      <c r="A66" s="64"/>
      <c r="B66" s="30"/>
    </row>
    <row r="67" ht="14.25" customHeight="1">
      <c r="A67" s="64"/>
      <c r="B67" s="30"/>
    </row>
    <row r="68" ht="14.25" customHeight="1">
      <c r="A68" s="64"/>
      <c r="B68" s="30"/>
    </row>
    <row r="69" ht="14.25" customHeight="1">
      <c r="A69" s="64"/>
      <c r="B69" s="30"/>
    </row>
    <row r="70" ht="14.25" customHeight="1">
      <c r="B70" s="30"/>
    </row>
    <row r="71" ht="14.25" customHeight="1">
      <c r="B71" s="30"/>
    </row>
    <row r="72" ht="14.25" customHeight="1">
      <c r="B72" s="30"/>
    </row>
    <row r="73" ht="14.25" customHeight="1">
      <c r="B73" s="30"/>
    </row>
    <row r="74" ht="14.25" customHeight="1">
      <c r="B74" s="30"/>
    </row>
    <row r="75" ht="14.25" customHeight="1">
      <c r="B75" s="30"/>
    </row>
    <row r="76" ht="14.25" customHeight="1">
      <c r="B76" s="30"/>
    </row>
    <row r="77" ht="14.25" customHeight="1">
      <c r="B77" s="30"/>
    </row>
    <row r="78" ht="14.25" customHeight="1">
      <c r="B78" s="30"/>
    </row>
    <row r="79" ht="14.25" customHeight="1">
      <c r="B79" s="30"/>
    </row>
    <row r="80" ht="14.25" customHeight="1">
      <c r="B80" s="30"/>
    </row>
    <row r="81" ht="14.25" customHeight="1">
      <c r="B81" s="30"/>
    </row>
    <row r="82" ht="14.25" customHeight="1">
      <c r="B82" s="30"/>
    </row>
    <row r="83" ht="14.25" customHeight="1">
      <c r="B83" s="30"/>
    </row>
    <row r="84" ht="14.25" customHeight="1">
      <c r="B84" s="30"/>
    </row>
    <row r="85" ht="14.25" customHeight="1">
      <c r="B85" s="30"/>
    </row>
    <row r="86" ht="14.25" customHeight="1">
      <c r="B86" s="30"/>
    </row>
    <row r="87" ht="14.25" customHeight="1">
      <c r="B87" s="30"/>
    </row>
    <row r="88" ht="14.25" customHeight="1">
      <c r="B88" s="30"/>
    </row>
    <row r="89" ht="14.25" customHeight="1">
      <c r="B89" s="30"/>
    </row>
    <row r="90" ht="14.25" customHeight="1">
      <c r="B90" s="30"/>
    </row>
    <row r="91" ht="14.25" customHeight="1">
      <c r="B91" s="30"/>
    </row>
    <row r="92" ht="14.25" customHeight="1">
      <c r="B92" s="30"/>
      <c r="D92" s="65">
        <f>D89+C92</f>
        <v>0</v>
      </c>
    </row>
    <row r="93" ht="14.25" customHeight="1">
      <c r="B93" s="30"/>
    </row>
    <row r="94" ht="14.25" customHeight="1">
      <c r="B94" s="30"/>
    </row>
    <row r="95" ht="14.25" customHeight="1">
      <c r="B95" s="30"/>
      <c r="D95" s="65">
        <f>D92+C95</f>
        <v>0</v>
      </c>
    </row>
    <row r="96" ht="14.25" customHeight="1">
      <c r="B96" s="30"/>
    </row>
    <row r="97" ht="14.25" customHeight="1">
      <c r="B97" s="30"/>
    </row>
    <row r="98" ht="14.25" customHeight="1">
      <c r="B98" s="30"/>
      <c r="D98" s="65">
        <f>D95+C98</f>
        <v>0</v>
      </c>
    </row>
    <row r="99" ht="14.25" customHeight="1">
      <c r="B99" s="30"/>
    </row>
    <row r="100" ht="14.25" customHeight="1">
      <c r="B100" s="30"/>
    </row>
    <row r="101" ht="14.25" customHeight="1">
      <c r="B101" s="30"/>
    </row>
    <row r="102" ht="14.25" customHeight="1">
      <c r="B102" s="30"/>
    </row>
    <row r="103" ht="14.25" customHeight="1">
      <c r="B103" s="30"/>
    </row>
    <row r="104" ht="14.25" customHeight="1">
      <c r="B104" s="30"/>
    </row>
    <row r="105" ht="14.25" customHeight="1">
      <c r="B105" s="30"/>
    </row>
    <row r="106" ht="14.25" customHeight="1">
      <c r="B106" s="30"/>
    </row>
    <row r="107" ht="14.25" customHeight="1">
      <c r="B107" s="30"/>
    </row>
    <row r="108" ht="14.25" customHeight="1">
      <c r="B108" s="30"/>
    </row>
    <row r="109" ht="14.25" customHeight="1">
      <c r="B109" s="30"/>
    </row>
    <row r="110" ht="14.25" customHeight="1">
      <c r="B110" s="30"/>
    </row>
    <row r="111" ht="14.25" customHeight="1">
      <c r="B111" s="30"/>
    </row>
    <row r="112" ht="14.25" customHeight="1">
      <c r="B112" s="30"/>
    </row>
    <row r="113" ht="14.25" customHeight="1">
      <c r="B113" s="30"/>
    </row>
    <row r="114" ht="14.25" customHeight="1">
      <c r="B114" s="30"/>
    </row>
    <row r="115" ht="14.25" customHeight="1">
      <c r="B115" s="30"/>
    </row>
    <row r="116" ht="14.25" customHeight="1">
      <c r="B116" s="30"/>
    </row>
    <row r="117" ht="14.25" customHeight="1">
      <c r="B117" s="30"/>
    </row>
    <row r="118" ht="14.25" customHeight="1">
      <c r="B118" s="30"/>
    </row>
    <row r="119" ht="14.25" customHeight="1">
      <c r="B119" s="30"/>
    </row>
    <row r="120" ht="14.25" customHeight="1">
      <c r="B120" s="30"/>
    </row>
    <row r="121" ht="14.25" customHeight="1">
      <c r="B121" s="30"/>
    </row>
    <row r="122" ht="14.25" customHeight="1">
      <c r="B122" s="30"/>
    </row>
    <row r="123" ht="14.25" customHeight="1">
      <c r="B123" s="30"/>
    </row>
    <row r="124" ht="14.25" customHeight="1">
      <c r="B124" s="30"/>
    </row>
    <row r="125" ht="14.25" customHeight="1">
      <c r="B125" s="30"/>
    </row>
    <row r="126" ht="14.25" customHeight="1">
      <c r="B126" s="30"/>
    </row>
    <row r="127" ht="14.25" customHeight="1">
      <c r="B127" s="30"/>
    </row>
    <row r="128" ht="14.25" customHeight="1">
      <c r="B128" s="30"/>
    </row>
    <row r="129" ht="14.25" customHeight="1">
      <c r="B129" s="30"/>
    </row>
    <row r="130" ht="14.25" customHeight="1">
      <c r="B130" s="30"/>
    </row>
    <row r="131" ht="14.25" customHeight="1">
      <c r="B131" s="30"/>
    </row>
    <row r="132" ht="14.25" customHeight="1">
      <c r="B132" s="30"/>
    </row>
    <row r="133" ht="14.25" customHeight="1">
      <c r="B133" s="30"/>
    </row>
    <row r="134" ht="14.25" customHeight="1">
      <c r="B134" s="30"/>
    </row>
    <row r="135" ht="14.25" customHeight="1">
      <c r="B135" s="30"/>
    </row>
    <row r="136" ht="14.25" customHeight="1">
      <c r="B136" s="30"/>
    </row>
    <row r="137" ht="14.25" customHeight="1">
      <c r="B137" s="30"/>
    </row>
    <row r="138" ht="14.25" customHeight="1">
      <c r="B138" s="30"/>
    </row>
    <row r="139" ht="14.25" customHeight="1">
      <c r="B139" s="30"/>
    </row>
    <row r="140" ht="14.25" customHeight="1">
      <c r="B140" s="30"/>
    </row>
    <row r="141" ht="14.25" customHeight="1">
      <c r="B141" s="30"/>
    </row>
    <row r="142" ht="14.25" customHeight="1">
      <c r="B142" s="30"/>
    </row>
    <row r="143" ht="14.25" customHeight="1">
      <c r="B143" s="30"/>
    </row>
    <row r="144" ht="14.25" customHeight="1">
      <c r="B144" s="30"/>
    </row>
    <row r="145" ht="14.25" customHeight="1">
      <c r="B145" s="30"/>
    </row>
    <row r="146" ht="14.25" customHeight="1">
      <c r="B146" s="30"/>
    </row>
    <row r="147" ht="14.25" customHeight="1">
      <c r="B147" s="30"/>
    </row>
    <row r="148" ht="14.25" customHeight="1">
      <c r="B148" s="30"/>
    </row>
    <row r="149" ht="14.25" customHeight="1">
      <c r="B149" s="30"/>
    </row>
    <row r="150" ht="14.25" customHeight="1">
      <c r="B150" s="30"/>
    </row>
    <row r="151" ht="14.25" customHeight="1">
      <c r="B151" s="30"/>
    </row>
    <row r="152" ht="14.25" customHeight="1">
      <c r="B152" s="30"/>
    </row>
    <row r="153" ht="14.25" customHeight="1">
      <c r="B153" s="30"/>
    </row>
    <row r="154" ht="14.25" customHeight="1">
      <c r="B154" s="30"/>
    </row>
    <row r="155" ht="14.25" customHeight="1">
      <c r="B155" s="30"/>
    </row>
    <row r="156" ht="14.25" customHeight="1">
      <c r="B156" s="30"/>
    </row>
    <row r="157" ht="14.25" customHeight="1">
      <c r="B157" s="30"/>
    </row>
    <row r="158" ht="14.25" customHeight="1">
      <c r="B158" s="30"/>
    </row>
    <row r="159" ht="14.25" customHeight="1">
      <c r="B159" s="30"/>
    </row>
    <row r="160" ht="14.25" customHeight="1">
      <c r="B160" s="30"/>
    </row>
    <row r="161" ht="14.25" customHeight="1">
      <c r="B161" s="30"/>
    </row>
    <row r="162" ht="14.25" customHeight="1">
      <c r="B162" s="30"/>
    </row>
    <row r="163" ht="14.25" customHeight="1">
      <c r="B163" s="30"/>
    </row>
    <row r="164" ht="14.25" customHeight="1">
      <c r="B164" s="30"/>
    </row>
    <row r="165" ht="14.25" customHeight="1">
      <c r="B165" s="30"/>
    </row>
    <row r="166" ht="14.25" customHeight="1">
      <c r="B166" s="30"/>
    </row>
    <row r="167" ht="14.25" customHeight="1">
      <c r="B167" s="30"/>
    </row>
    <row r="168" ht="14.25" customHeight="1">
      <c r="B168" s="30"/>
    </row>
    <row r="169" ht="14.25" customHeight="1">
      <c r="B169" s="30"/>
    </row>
    <row r="170" ht="14.25" customHeight="1">
      <c r="B170" s="30"/>
    </row>
    <row r="171" ht="14.25" customHeight="1">
      <c r="B171" s="30"/>
    </row>
    <row r="172" ht="14.25" customHeight="1">
      <c r="B172" s="30"/>
    </row>
    <row r="173" ht="14.25" customHeight="1">
      <c r="B173" s="30"/>
    </row>
    <row r="174" ht="14.25" customHeight="1">
      <c r="B174" s="30"/>
    </row>
    <row r="175" ht="14.25" customHeight="1">
      <c r="B175" s="30"/>
    </row>
    <row r="176" ht="14.25" customHeight="1">
      <c r="B176" s="30"/>
    </row>
    <row r="177" ht="14.25" customHeight="1">
      <c r="B177" s="30"/>
    </row>
    <row r="178" ht="14.25" customHeight="1">
      <c r="B178" s="30"/>
    </row>
    <row r="179" ht="14.25" customHeight="1">
      <c r="B179" s="30"/>
    </row>
    <row r="180" ht="14.25" customHeight="1">
      <c r="B180" s="30"/>
    </row>
    <row r="181" ht="14.25" customHeight="1">
      <c r="B181" s="30"/>
    </row>
    <row r="182" ht="14.25" customHeight="1">
      <c r="B182" s="30"/>
    </row>
    <row r="183" ht="14.25" customHeight="1">
      <c r="B183" s="30"/>
    </row>
    <row r="184" ht="14.25" customHeight="1">
      <c r="B184" s="30"/>
    </row>
    <row r="185" ht="14.25" customHeight="1">
      <c r="B185" s="30"/>
    </row>
    <row r="186" ht="14.25" customHeight="1">
      <c r="B186" s="30"/>
    </row>
    <row r="187" ht="14.25" customHeight="1">
      <c r="B187" s="30"/>
    </row>
    <row r="188" ht="14.25" customHeight="1">
      <c r="B188" s="30"/>
    </row>
    <row r="189" ht="14.25" customHeight="1">
      <c r="B189" s="30"/>
    </row>
    <row r="190" ht="14.25" customHeight="1">
      <c r="B190" s="30"/>
    </row>
    <row r="191" ht="14.25" customHeight="1">
      <c r="B191" s="30"/>
    </row>
    <row r="192" ht="14.25" customHeight="1">
      <c r="B192" s="30"/>
    </row>
    <row r="193" ht="14.25" customHeight="1">
      <c r="B193" s="30"/>
    </row>
    <row r="194" ht="14.25" customHeight="1">
      <c r="B194" s="30"/>
    </row>
    <row r="195" ht="14.25" customHeight="1">
      <c r="B195" s="30"/>
    </row>
    <row r="196" ht="14.25" customHeight="1">
      <c r="B196" s="30"/>
    </row>
    <row r="197" ht="14.25" customHeight="1">
      <c r="B197" s="30"/>
    </row>
    <row r="198" ht="14.25" customHeight="1">
      <c r="B198" s="30"/>
    </row>
    <row r="199" ht="14.25" customHeight="1">
      <c r="B199" s="30"/>
    </row>
    <row r="200" ht="14.25" customHeight="1">
      <c r="B200" s="30"/>
    </row>
    <row r="201" ht="14.25" customHeight="1">
      <c r="B201" s="30"/>
    </row>
    <row r="202" ht="14.25" customHeight="1">
      <c r="B202" s="30"/>
    </row>
    <row r="203" ht="14.25" customHeight="1">
      <c r="B203" s="30"/>
    </row>
    <row r="204" ht="14.25" customHeight="1">
      <c r="B204" s="30"/>
    </row>
    <row r="205" ht="14.25" customHeight="1">
      <c r="B205" s="30"/>
    </row>
    <row r="206" ht="14.25" customHeight="1">
      <c r="B206" s="30"/>
    </row>
    <row r="207" ht="14.25" customHeight="1">
      <c r="B207" s="30"/>
    </row>
    <row r="208" ht="14.25" customHeight="1">
      <c r="B208" s="30"/>
    </row>
    <row r="209" ht="14.25" customHeight="1">
      <c r="B209" s="30"/>
    </row>
    <row r="210" ht="14.25" customHeight="1">
      <c r="B210" s="30"/>
    </row>
    <row r="211" ht="14.25" customHeight="1">
      <c r="B211" s="30"/>
    </row>
    <row r="212" ht="14.25" customHeight="1">
      <c r="B212" s="30"/>
    </row>
    <row r="213" ht="14.25" customHeight="1">
      <c r="B213" s="30"/>
    </row>
    <row r="214" ht="14.25" customHeight="1">
      <c r="B214" s="30"/>
    </row>
    <row r="215" ht="14.25" customHeight="1">
      <c r="B215" s="30"/>
    </row>
    <row r="216" ht="14.25" customHeight="1">
      <c r="B216" s="30"/>
    </row>
    <row r="217" ht="14.25" customHeight="1">
      <c r="B217" s="30"/>
    </row>
    <row r="218" ht="14.25" customHeight="1">
      <c r="B218" s="30"/>
    </row>
    <row r="219" ht="14.25" customHeight="1">
      <c r="B219" s="30"/>
    </row>
    <row r="220" ht="14.25" customHeight="1">
      <c r="B220" s="30"/>
    </row>
    <row r="221" ht="14.25" customHeight="1">
      <c r="B221" s="30"/>
    </row>
    <row r="222" ht="14.25" customHeight="1">
      <c r="B222" s="30"/>
    </row>
    <row r="223" ht="14.25" customHeight="1">
      <c r="B223" s="30"/>
    </row>
    <row r="224" ht="14.25" customHeight="1">
      <c r="B224" s="30"/>
    </row>
    <row r="225" ht="14.25" customHeight="1">
      <c r="B225" s="30"/>
    </row>
    <row r="226" ht="14.25" customHeight="1">
      <c r="B226" s="30"/>
    </row>
    <row r="227" ht="14.25" customHeight="1">
      <c r="B227" s="30"/>
    </row>
    <row r="228" ht="14.25" customHeight="1">
      <c r="B228" s="30"/>
    </row>
    <row r="229" ht="14.25" customHeight="1">
      <c r="B229" s="30"/>
    </row>
    <row r="230" ht="14.25" customHeight="1">
      <c r="B230" s="30"/>
    </row>
    <row r="231" ht="14.25" customHeight="1">
      <c r="B231" s="30"/>
    </row>
    <row r="232" ht="14.25" customHeight="1">
      <c r="B232" s="30"/>
    </row>
    <row r="233" ht="14.25" customHeight="1">
      <c r="B233" s="30"/>
    </row>
    <row r="234" ht="14.25" customHeight="1">
      <c r="B234" s="30"/>
    </row>
    <row r="235" ht="14.25" customHeight="1">
      <c r="B235" s="30"/>
    </row>
    <row r="236" ht="14.25" customHeight="1">
      <c r="B236" s="30"/>
    </row>
    <row r="237" ht="14.25" customHeight="1">
      <c r="B237" s="30"/>
    </row>
    <row r="238" ht="14.25" customHeight="1">
      <c r="B238" s="30"/>
    </row>
    <row r="239" ht="14.25" customHeight="1">
      <c r="B239" s="30"/>
    </row>
    <row r="240" ht="14.25" customHeight="1">
      <c r="B240" s="30"/>
    </row>
    <row r="241" ht="14.25" customHeight="1">
      <c r="B241" s="30"/>
    </row>
    <row r="242" ht="14.25" customHeight="1">
      <c r="B242" s="30"/>
    </row>
    <row r="243" ht="14.25" customHeight="1">
      <c r="B243" s="30"/>
    </row>
    <row r="244" ht="14.25" customHeight="1">
      <c r="B244" s="30"/>
    </row>
    <row r="245" ht="14.25" customHeight="1">
      <c r="B245" s="30"/>
    </row>
    <row r="246" ht="14.25" customHeight="1">
      <c r="B246" s="30"/>
    </row>
    <row r="247" ht="14.25" customHeight="1">
      <c r="B247" s="30"/>
    </row>
    <row r="248" ht="14.25" customHeight="1">
      <c r="B248" s="30"/>
    </row>
    <row r="249" ht="14.25" customHeight="1">
      <c r="B249" s="30"/>
    </row>
    <row r="250" ht="14.25" customHeight="1">
      <c r="B250" s="30"/>
    </row>
    <row r="251" ht="14.25" customHeight="1">
      <c r="B251" s="30"/>
    </row>
    <row r="252" ht="14.25" customHeight="1">
      <c r="B252" s="30"/>
    </row>
    <row r="253" ht="14.25" customHeight="1">
      <c r="B253" s="30"/>
    </row>
    <row r="254" ht="14.25" customHeight="1">
      <c r="B254" s="30"/>
    </row>
    <row r="255" ht="14.25" customHeight="1">
      <c r="B255" s="30"/>
    </row>
    <row r="256" ht="14.25" customHeight="1">
      <c r="B256" s="30"/>
    </row>
    <row r="257" ht="14.25" customHeight="1">
      <c r="B257" s="30"/>
    </row>
    <row r="258" ht="14.25" customHeight="1">
      <c r="B258" s="30"/>
    </row>
    <row r="259" ht="14.25" customHeight="1">
      <c r="B259" s="30"/>
    </row>
    <row r="260" ht="14.25" customHeight="1">
      <c r="B260" s="30"/>
    </row>
    <row r="261" ht="14.25" customHeight="1">
      <c r="B261" s="30"/>
    </row>
    <row r="262" ht="14.25" customHeight="1">
      <c r="B262" s="30"/>
    </row>
    <row r="263" ht="14.25" customHeight="1">
      <c r="B263" s="30"/>
    </row>
    <row r="264" ht="14.25" customHeight="1">
      <c r="B264" s="30"/>
    </row>
    <row r="265" ht="14.25" customHeight="1">
      <c r="B265" s="30"/>
    </row>
    <row r="266" ht="14.25" customHeight="1">
      <c r="B266" s="30"/>
    </row>
    <row r="267" ht="14.25" customHeight="1">
      <c r="B267" s="30"/>
    </row>
    <row r="268" ht="14.25" customHeight="1">
      <c r="B268" s="30"/>
    </row>
    <row r="269" ht="14.25" customHeight="1">
      <c r="B269" s="30"/>
    </row>
    <row r="270" ht="14.25" customHeight="1">
      <c r="B270" s="30"/>
    </row>
    <row r="271" ht="14.25" customHeight="1">
      <c r="B271" s="30"/>
    </row>
    <row r="272" ht="14.25" customHeight="1">
      <c r="B272" s="30"/>
    </row>
    <row r="273" ht="14.25" customHeight="1">
      <c r="B273" s="30"/>
    </row>
    <row r="274" ht="14.25" customHeight="1">
      <c r="B274" s="30"/>
    </row>
    <row r="275" ht="14.25" customHeight="1">
      <c r="B275" s="30"/>
    </row>
    <row r="276" ht="14.25" customHeight="1">
      <c r="B276" s="30"/>
    </row>
    <row r="277" ht="14.25" customHeight="1">
      <c r="B277" s="30"/>
    </row>
    <row r="278" ht="14.25" customHeight="1">
      <c r="B278" s="30"/>
    </row>
    <row r="279" ht="14.25" customHeight="1">
      <c r="B279" s="30"/>
    </row>
    <row r="280" ht="14.25" customHeight="1">
      <c r="B280" s="30"/>
    </row>
    <row r="281" ht="14.25" customHeight="1">
      <c r="B281" s="30"/>
    </row>
    <row r="282" ht="14.25" customHeight="1">
      <c r="B282" s="30"/>
    </row>
    <row r="283" ht="14.25" customHeight="1">
      <c r="B283" s="30"/>
    </row>
    <row r="284" ht="14.25" customHeight="1">
      <c r="B284" s="30"/>
    </row>
    <row r="285" ht="14.25" customHeight="1">
      <c r="B285" s="30"/>
    </row>
    <row r="286" ht="14.25" customHeight="1">
      <c r="B286" s="30"/>
    </row>
    <row r="287" ht="14.25" customHeight="1">
      <c r="B287" s="30"/>
    </row>
    <row r="288" ht="14.25" customHeight="1">
      <c r="B288" s="30"/>
    </row>
    <row r="289" ht="14.25" customHeight="1">
      <c r="B289" s="30"/>
    </row>
    <row r="290" ht="14.25" customHeight="1">
      <c r="B290" s="30"/>
    </row>
    <row r="291" ht="14.25" customHeight="1">
      <c r="B291" s="30"/>
    </row>
    <row r="292" ht="14.25" customHeight="1">
      <c r="B292" s="30"/>
    </row>
    <row r="293" ht="14.25" customHeight="1">
      <c r="B293" s="30"/>
    </row>
    <row r="294" ht="14.25" customHeight="1">
      <c r="B294" s="30"/>
    </row>
    <row r="295" ht="14.25" customHeight="1">
      <c r="B295" s="30"/>
    </row>
    <row r="296" ht="14.25" customHeight="1">
      <c r="B296" s="30"/>
    </row>
    <row r="297" ht="14.25" customHeight="1">
      <c r="B297" s="30"/>
    </row>
    <row r="298" ht="14.25" customHeight="1">
      <c r="B298" s="30"/>
    </row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4">
    <mergeCell ref="Q1:R1"/>
    <mergeCell ref="S1:T1"/>
    <mergeCell ref="U1:V1"/>
    <mergeCell ref="W1:X1"/>
    <mergeCell ref="AC1:AD1"/>
    <mergeCell ref="Y1:Z1"/>
    <mergeCell ref="AA1:AB1"/>
    <mergeCell ref="C1:D1"/>
    <mergeCell ref="E1:F1"/>
    <mergeCell ref="G1:H1"/>
    <mergeCell ref="I1:J1"/>
    <mergeCell ref="K1:L1"/>
    <mergeCell ref="M1:N1"/>
    <mergeCell ref="O1:P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2022-11-18T22:52:46Z</dcterms:created>
  <dc:creator>Naon, Marcelo Carlos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9256c7-9946-44df-b379-51beb93fd2d9_Enabled">
    <vt:lpwstr>true</vt:lpwstr>
  </property>
  <property fmtid="{D5CDD505-2E9C-101B-9397-08002B2CF9AE}" pid="3" name="MSIP_Label_589256c7-9946-44df-b379-51beb93fd2d9_SetDate">
    <vt:lpwstr>2022-11-18T22:20:55Z</vt:lpwstr>
  </property>
  <property fmtid="{D5CDD505-2E9C-101B-9397-08002B2CF9AE}" pid="4" name="MSIP_Label_589256c7-9946-44df-b379-51beb93fd2d9_Method">
    <vt:lpwstr>Privileged</vt:lpwstr>
  </property>
  <property fmtid="{D5CDD505-2E9C-101B-9397-08002B2CF9AE}" pid="5" name="MSIP_Label_589256c7-9946-44df-b379-51beb93fd2d9_Name">
    <vt:lpwstr>589256c7-9946-44df-b379-51beb93fd2d9</vt:lpwstr>
  </property>
  <property fmtid="{D5CDD505-2E9C-101B-9397-08002B2CF9AE}" pid="6" name="MSIP_Label_589256c7-9946-44df-b379-51beb93fd2d9_SiteId">
    <vt:lpwstr>36da45f1-dd2c-4d1f-af13-5abe46b99921</vt:lpwstr>
  </property>
  <property fmtid="{D5CDD505-2E9C-101B-9397-08002B2CF9AE}" pid="7" name="MSIP_Label_589256c7-9946-44df-b379-51beb93fd2d9_ActionId">
    <vt:lpwstr>2c64d89e-49c5-46a3-81cd-7c51582f9390</vt:lpwstr>
  </property>
  <property fmtid="{D5CDD505-2E9C-101B-9397-08002B2CF9AE}" pid="8" name="MSIP_Label_589256c7-9946-44df-b379-51beb93fd2d9_ContentBits">
    <vt:lpwstr>0</vt:lpwstr>
  </property>
</Properties>
</file>